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uar\Desktop\AI Projects\Gold Valuation Reference\"/>
    </mc:Choice>
  </mc:AlternateContent>
  <xr:revisionPtr revIDLastSave="0" documentId="13_ncr:1_{8B459E6F-CD11-451C-9ABC-002ECE1B4F92}" xr6:coauthVersionLast="36" xr6:coauthVersionMax="36" xr10:uidLastSave="{00000000-0000-0000-0000-000000000000}"/>
  <bookViews>
    <workbookView xWindow="0" yWindow="0" windowWidth="25135" windowHeight="9596" activeTab="2" xr2:uid="{00000000-000D-0000-FFFF-FFFF00000000}"/>
  </bookViews>
  <sheets>
    <sheet name="Dashboard" sheetId="1" r:id="rId1"/>
    <sheet name="Item Calculator" sheetId="2" r:id="rId2"/>
    <sheet name="Purity &amp; Rates" sheetId="3" r:id="rId3"/>
    <sheet name="Instructions" sheetId="4" r:id="rId4"/>
  </sheets>
  <calcPr calcId="191029"/>
</workbook>
</file>

<file path=xl/calcChain.xml><?xml version="1.0" encoding="utf-8"?>
<calcChain xmlns="http://schemas.openxmlformats.org/spreadsheetml/2006/main">
  <c r="D16" i="3" l="1"/>
  <c r="F16" i="3" s="1"/>
  <c r="D15" i="3"/>
  <c r="F15" i="3" s="1"/>
  <c r="D14" i="3"/>
  <c r="F14" i="3" s="1"/>
  <c r="D13" i="3"/>
  <c r="F13" i="3" s="1"/>
  <c r="D12" i="3"/>
  <c r="F12" i="3" s="1"/>
  <c r="D11" i="3"/>
  <c r="E11" i="3" s="1"/>
  <c r="M106" i="2"/>
  <c r="O106" i="2" s="1"/>
  <c r="E106" i="2"/>
  <c r="D106" i="2"/>
  <c r="H104" i="2"/>
  <c r="F104" i="2"/>
  <c r="A104" i="2"/>
  <c r="H103" i="2"/>
  <c r="F103" i="2"/>
  <c r="A103" i="2"/>
  <c r="I102" i="2"/>
  <c r="J102" i="2" s="1"/>
  <c r="H102" i="2"/>
  <c r="F102" i="2"/>
  <c r="A102" i="2"/>
  <c r="H101" i="2"/>
  <c r="I101" i="2" s="1"/>
  <c r="J101" i="2" s="1"/>
  <c r="F101" i="2"/>
  <c r="A101" i="2"/>
  <c r="H100" i="2"/>
  <c r="I100" i="2" s="1"/>
  <c r="J100" i="2" s="1"/>
  <c r="F100" i="2"/>
  <c r="A100" i="2"/>
  <c r="H99" i="2"/>
  <c r="F99" i="2"/>
  <c r="I99" i="2" s="1"/>
  <c r="J99" i="2" s="1"/>
  <c r="A99" i="2"/>
  <c r="H98" i="2"/>
  <c r="I98" i="2" s="1"/>
  <c r="J98" i="2" s="1"/>
  <c r="F98" i="2"/>
  <c r="A98" i="2"/>
  <c r="H97" i="2"/>
  <c r="I97" i="2" s="1"/>
  <c r="J97" i="2" s="1"/>
  <c r="F97" i="2"/>
  <c r="A97" i="2"/>
  <c r="H96" i="2"/>
  <c r="I96" i="2" s="1"/>
  <c r="J96" i="2" s="1"/>
  <c r="F96" i="2"/>
  <c r="A96" i="2"/>
  <c r="H95" i="2"/>
  <c r="F95" i="2"/>
  <c r="I95" i="2" s="1"/>
  <c r="J95" i="2" s="1"/>
  <c r="A95" i="2"/>
  <c r="I94" i="2"/>
  <c r="J94" i="2" s="1"/>
  <c r="H94" i="2"/>
  <c r="F94" i="2"/>
  <c r="A94" i="2"/>
  <c r="H93" i="2"/>
  <c r="I93" i="2" s="1"/>
  <c r="J93" i="2" s="1"/>
  <c r="F93" i="2"/>
  <c r="A93" i="2"/>
  <c r="H92" i="2"/>
  <c r="I92" i="2" s="1"/>
  <c r="J92" i="2" s="1"/>
  <c r="F92" i="2"/>
  <c r="A92" i="2"/>
  <c r="H91" i="2"/>
  <c r="F91" i="2"/>
  <c r="I91" i="2" s="1"/>
  <c r="J91" i="2" s="1"/>
  <c r="A91" i="2"/>
  <c r="I90" i="2"/>
  <c r="J90" i="2" s="1"/>
  <c r="H90" i="2"/>
  <c r="F90" i="2"/>
  <c r="A90" i="2"/>
  <c r="H89" i="2"/>
  <c r="I89" i="2" s="1"/>
  <c r="J89" i="2" s="1"/>
  <c r="F89" i="2"/>
  <c r="A89" i="2"/>
  <c r="H88" i="2"/>
  <c r="F88" i="2"/>
  <c r="I88" i="2" s="1"/>
  <c r="J88" i="2" s="1"/>
  <c r="A88" i="2"/>
  <c r="H87" i="2"/>
  <c r="F87" i="2"/>
  <c r="I87" i="2" s="1"/>
  <c r="J87" i="2" s="1"/>
  <c r="A87" i="2"/>
  <c r="I86" i="2"/>
  <c r="J86" i="2" s="1"/>
  <c r="H86" i="2"/>
  <c r="F86" i="2"/>
  <c r="A86" i="2"/>
  <c r="H85" i="2"/>
  <c r="I85" i="2" s="1"/>
  <c r="J85" i="2" s="1"/>
  <c r="F85" i="2"/>
  <c r="A85" i="2"/>
  <c r="H84" i="2"/>
  <c r="F84" i="2"/>
  <c r="I84" i="2" s="1"/>
  <c r="J84" i="2" s="1"/>
  <c r="A84" i="2"/>
  <c r="H83" i="2"/>
  <c r="F83" i="2"/>
  <c r="I83" i="2" s="1"/>
  <c r="J83" i="2" s="1"/>
  <c r="A83" i="2"/>
  <c r="I82" i="2"/>
  <c r="J82" i="2" s="1"/>
  <c r="H82" i="2"/>
  <c r="F82" i="2"/>
  <c r="A82" i="2"/>
  <c r="H81" i="2"/>
  <c r="I81" i="2" s="1"/>
  <c r="J81" i="2" s="1"/>
  <c r="F81" i="2"/>
  <c r="A81" i="2"/>
  <c r="H80" i="2"/>
  <c r="I80" i="2" s="1"/>
  <c r="J80" i="2" s="1"/>
  <c r="F80" i="2"/>
  <c r="A80" i="2"/>
  <c r="H79" i="2"/>
  <c r="F79" i="2"/>
  <c r="I79" i="2" s="1"/>
  <c r="J79" i="2" s="1"/>
  <c r="A79" i="2"/>
  <c r="I78" i="2"/>
  <c r="J78" i="2" s="1"/>
  <c r="H78" i="2"/>
  <c r="F78" i="2"/>
  <c r="A78" i="2"/>
  <c r="H77" i="2"/>
  <c r="I77" i="2" s="1"/>
  <c r="J77" i="2" s="1"/>
  <c r="F77" i="2"/>
  <c r="A77" i="2"/>
  <c r="H76" i="2"/>
  <c r="F76" i="2"/>
  <c r="I76" i="2" s="1"/>
  <c r="J76" i="2" s="1"/>
  <c r="A76" i="2"/>
  <c r="H75" i="2"/>
  <c r="F75" i="2"/>
  <c r="I75" i="2" s="1"/>
  <c r="J75" i="2" s="1"/>
  <c r="A75" i="2"/>
  <c r="I74" i="2"/>
  <c r="J74" i="2" s="1"/>
  <c r="H74" i="2"/>
  <c r="F74" i="2"/>
  <c r="A74" i="2"/>
  <c r="H73" i="2"/>
  <c r="I73" i="2" s="1"/>
  <c r="J73" i="2" s="1"/>
  <c r="F73" i="2"/>
  <c r="A73" i="2"/>
  <c r="H72" i="2"/>
  <c r="F72" i="2"/>
  <c r="I72" i="2" s="1"/>
  <c r="J72" i="2" s="1"/>
  <c r="A72" i="2"/>
  <c r="H71" i="2"/>
  <c r="F71" i="2"/>
  <c r="I71" i="2" s="1"/>
  <c r="J71" i="2" s="1"/>
  <c r="A71" i="2"/>
  <c r="I70" i="2"/>
  <c r="J70" i="2" s="1"/>
  <c r="H70" i="2"/>
  <c r="F70" i="2"/>
  <c r="A70" i="2"/>
  <c r="H69" i="2"/>
  <c r="I69" i="2" s="1"/>
  <c r="J69" i="2" s="1"/>
  <c r="F69" i="2"/>
  <c r="A69" i="2"/>
  <c r="H68" i="2"/>
  <c r="I68" i="2" s="1"/>
  <c r="J68" i="2" s="1"/>
  <c r="F68" i="2"/>
  <c r="A68" i="2"/>
  <c r="H67" i="2"/>
  <c r="F67" i="2"/>
  <c r="I67" i="2" s="1"/>
  <c r="J67" i="2" s="1"/>
  <c r="A67" i="2"/>
  <c r="I66" i="2"/>
  <c r="J66" i="2" s="1"/>
  <c r="H66" i="2"/>
  <c r="F66" i="2"/>
  <c r="A66" i="2"/>
  <c r="H65" i="2"/>
  <c r="I65" i="2" s="1"/>
  <c r="J65" i="2" s="1"/>
  <c r="F65" i="2"/>
  <c r="A65" i="2"/>
  <c r="H64" i="2"/>
  <c r="I64" i="2" s="1"/>
  <c r="J64" i="2" s="1"/>
  <c r="F64" i="2"/>
  <c r="A64" i="2"/>
  <c r="H63" i="2"/>
  <c r="F63" i="2"/>
  <c r="I63" i="2" s="1"/>
  <c r="J63" i="2" s="1"/>
  <c r="A63" i="2"/>
  <c r="I62" i="2"/>
  <c r="J62" i="2" s="1"/>
  <c r="H62" i="2"/>
  <c r="F62" i="2"/>
  <c r="A62" i="2"/>
  <c r="H61" i="2"/>
  <c r="I61" i="2" s="1"/>
  <c r="J61" i="2" s="1"/>
  <c r="F61" i="2"/>
  <c r="A61" i="2"/>
  <c r="H60" i="2"/>
  <c r="I60" i="2" s="1"/>
  <c r="J60" i="2" s="1"/>
  <c r="F60" i="2"/>
  <c r="A60" i="2"/>
  <c r="H59" i="2"/>
  <c r="F59" i="2"/>
  <c r="I59" i="2" s="1"/>
  <c r="J59" i="2" s="1"/>
  <c r="A59" i="2"/>
  <c r="I58" i="2"/>
  <c r="J58" i="2" s="1"/>
  <c r="H58" i="2"/>
  <c r="F58" i="2"/>
  <c r="A58" i="2"/>
  <c r="H57" i="2"/>
  <c r="I57" i="2" s="1"/>
  <c r="J57" i="2" s="1"/>
  <c r="F57" i="2"/>
  <c r="A57" i="2"/>
  <c r="H56" i="2"/>
  <c r="I56" i="2" s="1"/>
  <c r="J56" i="2" s="1"/>
  <c r="F56" i="2"/>
  <c r="A56" i="2"/>
  <c r="H55" i="2"/>
  <c r="F55" i="2"/>
  <c r="I55" i="2" s="1"/>
  <c r="J55" i="2" s="1"/>
  <c r="A55" i="2"/>
  <c r="I54" i="2"/>
  <c r="J54" i="2" s="1"/>
  <c r="H54" i="2"/>
  <c r="F54" i="2"/>
  <c r="A54" i="2"/>
  <c r="H53" i="2"/>
  <c r="I53" i="2" s="1"/>
  <c r="J53" i="2" s="1"/>
  <c r="F53" i="2"/>
  <c r="A53" i="2"/>
  <c r="H52" i="2"/>
  <c r="I52" i="2" s="1"/>
  <c r="J52" i="2" s="1"/>
  <c r="F52" i="2"/>
  <c r="A52" i="2"/>
  <c r="H51" i="2"/>
  <c r="F51" i="2"/>
  <c r="I51" i="2" s="1"/>
  <c r="J51" i="2" s="1"/>
  <c r="A51" i="2"/>
  <c r="I50" i="2"/>
  <c r="J50" i="2" s="1"/>
  <c r="H50" i="2"/>
  <c r="F50" i="2"/>
  <c r="A50" i="2"/>
  <c r="H49" i="2"/>
  <c r="I49" i="2" s="1"/>
  <c r="J49" i="2" s="1"/>
  <c r="F49" i="2"/>
  <c r="A49" i="2"/>
  <c r="H48" i="2"/>
  <c r="I48" i="2" s="1"/>
  <c r="J48" i="2" s="1"/>
  <c r="F48" i="2"/>
  <c r="A48" i="2"/>
  <c r="H47" i="2"/>
  <c r="F47" i="2"/>
  <c r="I47" i="2" s="1"/>
  <c r="J47" i="2" s="1"/>
  <c r="A47" i="2"/>
  <c r="I46" i="2"/>
  <c r="J46" i="2" s="1"/>
  <c r="H46" i="2"/>
  <c r="F46" i="2"/>
  <c r="A46" i="2"/>
  <c r="H45" i="2"/>
  <c r="I45" i="2" s="1"/>
  <c r="J45" i="2" s="1"/>
  <c r="F45" i="2"/>
  <c r="A45" i="2"/>
  <c r="H44" i="2"/>
  <c r="I44" i="2" s="1"/>
  <c r="J44" i="2" s="1"/>
  <c r="F44" i="2"/>
  <c r="A44" i="2"/>
  <c r="H43" i="2"/>
  <c r="F43" i="2"/>
  <c r="I43" i="2" s="1"/>
  <c r="J43" i="2" s="1"/>
  <c r="A43" i="2"/>
  <c r="I42" i="2"/>
  <c r="J42" i="2" s="1"/>
  <c r="H42" i="2"/>
  <c r="F42" i="2"/>
  <c r="A42" i="2"/>
  <c r="H41" i="2"/>
  <c r="I41" i="2" s="1"/>
  <c r="J41" i="2" s="1"/>
  <c r="F41" i="2"/>
  <c r="A41" i="2"/>
  <c r="H40" i="2"/>
  <c r="I40" i="2" s="1"/>
  <c r="J40" i="2" s="1"/>
  <c r="F40" i="2"/>
  <c r="A40" i="2"/>
  <c r="H39" i="2"/>
  <c r="F39" i="2"/>
  <c r="I39" i="2" s="1"/>
  <c r="J39" i="2" s="1"/>
  <c r="A39" i="2"/>
  <c r="J38" i="2"/>
  <c r="I38" i="2"/>
  <c r="H38" i="2"/>
  <c r="F38" i="2"/>
  <c r="A38" i="2"/>
  <c r="J37" i="2"/>
  <c r="N37" i="2" s="1"/>
  <c r="O37" i="2" s="1"/>
  <c r="H37" i="2"/>
  <c r="I37" i="2" s="1"/>
  <c r="F37" i="2"/>
  <c r="A37" i="2"/>
  <c r="H36" i="2"/>
  <c r="I36" i="2" s="1"/>
  <c r="J36" i="2" s="1"/>
  <c r="F36" i="2"/>
  <c r="A36" i="2"/>
  <c r="H35" i="2"/>
  <c r="F35" i="2"/>
  <c r="I35" i="2" s="1"/>
  <c r="J35" i="2" s="1"/>
  <c r="A35" i="2"/>
  <c r="I34" i="2"/>
  <c r="J34" i="2" s="1"/>
  <c r="H34" i="2"/>
  <c r="F34" i="2"/>
  <c r="A34" i="2"/>
  <c r="H33" i="2"/>
  <c r="I33" i="2" s="1"/>
  <c r="J33" i="2" s="1"/>
  <c r="F33" i="2"/>
  <c r="A33" i="2"/>
  <c r="H32" i="2"/>
  <c r="I32" i="2" s="1"/>
  <c r="J32" i="2" s="1"/>
  <c r="F32" i="2"/>
  <c r="A32" i="2"/>
  <c r="H31" i="2"/>
  <c r="F31" i="2"/>
  <c r="I31" i="2" s="1"/>
  <c r="J31" i="2" s="1"/>
  <c r="A31" i="2"/>
  <c r="J30" i="2"/>
  <c r="I30" i="2"/>
  <c r="H30" i="2"/>
  <c r="F30" i="2"/>
  <c r="A30" i="2"/>
  <c r="O29" i="2"/>
  <c r="J29" i="2"/>
  <c r="N29" i="2" s="1"/>
  <c r="I29" i="2"/>
  <c r="H29" i="2"/>
  <c r="F29" i="2"/>
  <c r="A29" i="2"/>
  <c r="H28" i="2"/>
  <c r="F28" i="2"/>
  <c r="A28" i="2"/>
  <c r="H27" i="2"/>
  <c r="F27" i="2"/>
  <c r="A27" i="2"/>
  <c r="J26" i="2"/>
  <c r="I26" i="2"/>
  <c r="H26" i="2"/>
  <c r="F26" i="2"/>
  <c r="A26" i="2"/>
  <c r="J25" i="2"/>
  <c r="N25" i="2" s="1"/>
  <c r="O25" i="2" s="1"/>
  <c r="I25" i="2"/>
  <c r="H25" i="2"/>
  <c r="F25" i="2"/>
  <c r="A25" i="2"/>
  <c r="H24" i="2"/>
  <c r="F24" i="2"/>
  <c r="A24" i="2"/>
  <c r="H23" i="2"/>
  <c r="F23" i="2"/>
  <c r="I23" i="2" s="1"/>
  <c r="J23" i="2" s="1"/>
  <c r="A23" i="2"/>
  <c r="H22" i="2"/>
  <c r="F22" i="2"/>
  <c r="I22" i="2" s="1"/>
  <c r="J22" i="2" s="1"/>
  <c r="A22" i="2"/>
  <c r="I21" i="2"/>
  <c r="J21" i="2" s="1"/>
  <c r="H21" i="2"/>
  <c r="F21" i="2"/>
  <c r="A21" i="2"/>
  <c r="H20" i="2"/>
  <c r="F20" i="2"/>
  <c r="I20" i="2" s="1"/>
  <c r="J20" i="2" s="1"/>
  <c r="A20" i="2"/>
  <c r="J19" i="2"/>
  <c r="L19" i="2" s="1"/>
  <c r="I19" i="2"/>
  <c r="H19" i="2"/>
  <c r="F19" i="2"/>
  <c r="A19" i="2"/>
  <c r="H18" i="2"/>
  <c r="F18" i="2"/>
  <c r="I18" i="2" s="1"/>
  <c r="J18" i="2" s="1"/>
  <c r="A18" i="2"/>
  <c r="I17" i="2"/>
  <c r="J17" i="2" s="1"/>
  <c r="H17" i="2"/>
  <c r="F17" i="2"/>
  <c r="A17" i="2"/>
  <c r="H16" i="2"/>
  <c r="F16" i="2"/>
  <c r="I16" i="2" s="1"/>
  <c r="J16" i="2" s="1"/>
  <c r="A16" i="2"/>
  <c r="J15" i="2"/>
  <c r="L15" i="2" s="1"/>
  <c r="I15" i="2"/>
  <c r="H15" i="2"/>
  <c r="F15" i="2"/>
  <c r="A15" i="2"/>
  <c r="H14" i="2"/>
  <c r="F14" i="2"/>
  <c r="A14" i="2"/>
  <c r="H13" i="2"/>
  <c r="F13" i="2"/>
  <c r="A13" i="2"/>
  <c r="H12" i="2"/>
  <c r="F12" i="2"/>
  <c r="I12" i="2" s="1"/>
  <c r="J12" i="2" s="1"/>
  <c r="A12" i="2"/>
  <c r="H11" i="2"/>
  <c r="F11" i="2"/>
  <c r="A11" i="2"/>
  <c r="H10" i="2"/>
  <c r="F10" i="2"/>
  <c r="A10" i="2"/>
  <c r="H9" i="2"/>
  <c r="F9" i="2"/>
  <c r="A9" i="2"/>
  <c r="H8" i="2"/>
  <c r="F8" i="2"/>
  <c r="A8" i="2"/>
  <c r="H7" i="2"/>
  <c r="F7" i="2"/>
  <c r="A7" i="2"/>
  <c r="H6" i="2"/>
  <c r="F6" i="2"/>
  <c r="A6" i="2"/>
  <c r="H5" i="2"/>
  <c r="I5" i="2" s="1"/>
  <c r="F5" i="2"/>
  <c r="A5" i="2"/>
  <c r="C20" i="1"/>
  <c r="B20" i="1"/>
  <c r="C19" i="1"/>
  <c r="B19" i="1"/>
  <c r="B18" i="1"/>
  <c r="B17" i="1"/>
  <c r="F16" i="1"/>
  <c r="E16" i="1"/>
  <c r="D16" i="1"/>
  <c r="C16" i="1"/>
  <c r="B16" i="1"/>
  <c r="F15" i="1"/>
  <c r="E15" i="1"/>
  <c r="D15" i="1"/>
  <c r="C15" i="1"/>
  <c r="B15" i="1"/>
  <c r="B11" i="1"/>
  <c r="B9" i="1"/>
  <c r="B8" i="1"/>
  <c r="B7" i="1"/>
  <c r="B6" i="1"/>
  <c r="B5" i="1"/>
  <c r="N15" i="2" l="1"/>
  <c r="O15" i="2" s="1"/>
  <c r="N19" i="2"/>
  <c r="O19" i="2" s="1"/>
  <c r="E13" i="3"/>
  <c r="I14" i="2"/>
  <c r="J14" i="2" s="1"/>
  <c r="N14" i="2" s="1"/>
  <c r="O14" i="2" s="1"/>
  <c r="I13" i="2"/>
  <c r="J13" i="2" s="1"/>
  <c r="L13" i="2" s="1"/>
  <c r="C18" i="1"/>
  <c r="I11" i="2"/>
  <c r="J11" i="2" s="1"/>
  <c r="K11" i="2" s="1"/>
  <c r="P11" i="2" s="1"/>
  <c r="I10" i="2"/>
  <c r="D19" i="1" s="1"/>
  <c r="I9" i="2"/>
  <c r="J9" i="2" s="1"/>
  <c r="L9" i="2" s="1"/>
  <c r="C17" i="1"/>
  <c r="I8" i="2"/>
  <c r="J8" i="2" s="1"/>
  <c r="L8" i="2" s="1"/>
  <c r="I7" i="2"/>
  <c r="J7" i="2" s="1"/>
  <c r="L7" i="2" s="1"/>
  <c r="I6" i="2"/>
  <c r="N42" i="2"/>
  <c r="O42" i="2" s="1"/>
  <c r="K42" i="2"/>
  <c r="P42" i="2" s="1"/>
  <c r="L42" i="2"/>
  <c r="N74" i="2"/>
  <c r="O74" i="2" s="1"/>
  <c r="K74" i="2"/>
  <c r="P74" i="2" s="1"/>
  <c r="L74" i="2"/>
  <c r="K17" i="2"/>
  <c r="P17" i="2" s="1"/>
  <c r="N17" i="2"/>
  <c r="O17" i="2" s="1"/>
  <c r="L17" i="2"/>
  <c r="K40" i="2"/>
  <c r="P40" i="2" s="1"/>
  <c r="N40" i="2"/>
  <c r="O40" i="2" s="1"/>
  <c r="L40" i="2"/>
  <c r="N94" i="2"/>
  <c r="O94" i="2" s="1"/>
  <c r="K94" i="2"/>
  <c r="P94" i="2" s="1"/>
  <c r="L94" i="2"/>
  <c r="K60" i="2"/>
  <c r="P60" i="2" s="1"/>
  <c r="N60" i="2"/>
  <c r="O60" i="2" s="1"/>
  <c r="L60" i="2"/>
  <c r="N75" i="2"/>
  <c r="O75" i="2" s="1"/>
  <c r="K75" i="2"/>
  <c r="P75" i="2" s="1"/>
  <c r="L75" i="2"/>
  <c r="K92" i="2"/>
  <c r="P92" i="2" s="1"/>
  <c r="N92" i="2"/>
  <c r="O92" i="2" s="1"/>
  <c r="L92" i="2"/>
  <c r="N97" i="2"/>
  <c r="O97" i="2" s="1"/>
  <c r="K97" i="2"/>
  <c r="P97" i="2" s="1"/>
  <c r="L97" i="2"/>
  <c r="N102" i="2"/>
  <c r="O102" i="2" s="1"/>
  <c r="K102" i="2"/>
  <c r="P102" i="2" s="1"/>
  <c r="L102" i="2"/>
  <c r="N18" i="2"/>
  <c r="O18" i="2" s="1"/>
  <c r="L18" i="2"/>
  <c r="K18" i="2"/>
  <c r="P18" i="2" s="1"/>
  <c r="N22" i="2"/>
  <c r="O22" i="2" s="1"/>
  <c r="L22" i="2"/>
  <c r="K22" i="2"/>
  <c r="P22" i="2" s="1"/>
  <c r="N34" i="2"/>
  <c r="O34" i="2" s="1"/>
  <c r="K34" i="2"/>
  <c r="P34" i="2" s="1"/>
  <c r="L34" i="2"/>
  <c r="K48" i="2"/>
  <c r="P48" i="2" s="1"/>
  <c r="N48" i="2"/>
  <c r="O48" i="2" s="1"/>
  <c r="L48" i="2"/>
  <c r="N53" i="2"/>
  <c r="O53" i="2" s="1"/>
  <c r="L53" i="2"/>
  <c r="K53" i="2"/>
  <c r="P53" i="2" s="1"/>
  <c r="N63" i="2"/>
  <c r="O63" i="2" s="1"/>
  <c r="K63" i="2"/>
  <c r="P63" i="2" s="1"/>
  <c r="L63" i="2"/>
  <c r="N70" i="2"/>
  <c r="O70" i="2" s="1"/>
  <c r="K70" i="2"/>
  <c r="P70" i="2" s="1"/>
  <c r="L70" i="2"/>
  <c r="K80" i="2"/>
  <c r="P80" i="2" s="1"/>
  <c r="N80" i="2"/>
  <c r="O80" i="2" s="1"/>
  <c r="L80" i="2"/>
  <c r="N85" i="2"/>
  <c r="O85" i="2" s="1"/>
  <c r="L85" i="2"/>
  <c r="K85" i="2"/>
  <c r="P85" i="2" s="1"/>
  <c r="N95" i="2"/>
  <c r="O95" i="2" s="1"/>
  <c r="K95" i="2"/>
  <c r="P95" i="2" s="1"/>
  <c r="L95" i="2"/>
  <c r="K100" i="2"/>
  <c r="P100" i="2" s="1"/>
  <c r="N100" i="2"/>
  <c r="O100" i="2" s="1"/>
  <c r="L100" i="2"/>
  <c r="N31" i="2"/>
  <c r="O31" i="2" s="1"/>
  <c r="K31" i="2"/>
  <c r="P31" i="2" s="1"/>
  <c r="L31" i="2"/>
  <c r="K72" i="2"/>
  <c r="P72" i="2" s="1"/>
  <c r="N72" i="2"/>
  <c r="O72" i="2" s="1"/>
  <c r="L72" i="2"/>
  <c r="K36" i="2"/>
  <c r="P36" i="2" s="1"/>
  <c r="N36" i="2"/>
  <c r="O36" i="2" s="1"/>
  <c r="L36" i="2"/>
  <c r="N62" i="2"/>
  <c r="O62" i="2" s="1"/>
  <c r="K62" i="2"/>
  <c r="P62" i="2" s="1"/>
  <c r="L62" i="2"/>
  <c r="N50" i="2"/>
  <c r="O50" i="2" s="1"/>
  <c r="K50" i="2"/>
  <c r="P50" i="2" s="1"/>
  <c r="L50" i="2"/>
  <c r="N12" i="2"/>
  <c r="O12" i="2" s="1"/>
  <c r="L12" i="2"/>
  <c r="K12" i="2"/>
  <c r="P12" i="2" s="1"/>
  <c r="N20" i="2"/>
  <c r="O20" i="2" s="1"/>
  <c r="L20" i="2"/>
  <c r="K20" i="2"/>
  <c r="P20" i="2" s="1"/>
  <c r="K32" i="2"/>
  <c r="P32" i="2" s="1"/>
  <c r="N32" i="2"/>
  <c r="O32" i="2" s="1"/>
  <c r="L32" i="2"/>
  <c r="N41" i="2"/>
  <c r="O41" i="2" s="1"/>
  <c r="K41" i="2"/>
  <c r="P41" i="2" s="1"/>
  <c r="L41" i="2"/>
  <c r="N51" i="2"/>
  <c r="O51" i="2" s="1"/>
  <c r="K51" i="2"/>
  <c r="P51" i="2" s="1"/>
  <c r="L51" i="2"/>
  <c r="N58" i="2"/>
  <c r="O58" i="2" s="1"/>
  <c r="K58" i="2"/>
  <c r="P58" i="2" s="1"/>
  <c r="L58" i="2"/>
  <c r="K68" i="2"/>
  <c r="P68" i="2" s="1"/>
  <c r="N68" i="2"/>
  <c r="O68" i="2" s="1"/>
  <c r="L68" i="2"/>
  <c r="N73" i="2"/>
  <c r="O73" i="2" s="1"/>
  <c r="K73" i="2"/>
  <c r="P73" i="2" s="1"/>
  <c r="L73" i="2"/>
  <c r="N83" i="2"/>
  <c r="O83" i="2" s="1"/>
  <c r="K83" i="2"/>
  <c r="P83" i="2" s="1"/>
  <c r="L83" i="2"/>
  <c r="K88" i="2"/>
  <c r="P88" i="2" s="1"/>
  <c r="N88" i="2"/>
  <c r="O88" i="2" s="1"/>
  <c r="L88" i="2"/>
  <c r="N90" i="2"/>
  <c r="O90" i="2" s="1"/>
  <c r="K90" i="2"/>
  <c r="P90" i="2" s="1"/>
  <c r="L90" i="2"/>
  <c r="N57" i="2"/>
  <c r="O57" i="2" s="1"/>
  <c r="K57" i="2"/>
  <c r="P57" i="2" s="1"/>
  <c r="L57" i="2"/>
  <c r="N89" i="2"/>
  <c r="O89" i="2" s="1"/>
  <c r="K89" i="2"/>
  <c r="P89" i="2" s="1"/>
  <c r="L89" i="2"/>
  <c r="K9" i="2"/>
  <c r="P9" i="2" s="1"/>
  <c r="N9" i="2"/>
  <c r="O9" i="2" s="1"/>
  <c r="K21" i="2"/>
  <c r="P21" i="2" s="1"/>
  <c r="N21" i="2"/>
  <c r="O21" i="2" s="1"/>
  <c r="L21" i="2"/>
  <c r="N45" i="2"/>
  <c r="O45" i="2" s="1"/>
  <c r="L45" i="2"/>
  <c r="K45" i="2"/>
  <c r="P45" i="2" s="1"/>
  <c r="N87" i="2"/>
  <c r="O87" i="2" s="1"/>
  <c r="K87" i="2"/>
  <c r="P87" i="2" s="1"/>
  <c r="L87" i="2"/>
  <c r="N43" i="2"/>
  <c r="O43" i="2" s="1"/>
  <c r="K43" i="2"/>
  <c r="P43" i="2" s="1"/>
  <c r="L43" i="2"/>
  <c r="N16" i="2"/>
  <c r="O16" i="2" s="1"/>
  <c r="L16" i="2"/>
  <c r="K16" i="2"/>
  <c r="P16" i="2" s="1"/>
  <c r="N35" i="2"/>
  <c r="O35" i="2" s="1"/>
  <c r="K35" i="2"/>
  <c r="P35" i="2" s="1"/>
  <c r="L35" i="2"/>
  <c r="N39" i="2"/>
  <c r="O39" i="2" s="1"/>
  <c r="K39" i="2"/>
  <c r="P39" i="2" s="1"/>
  <c r="L39" i="2"/>
  <c r="N46" i="2"/>
  <c r="O46" i="2" s="1"/>
  <c r="K46" i="2"/>
  <c r="P46" i="2" s="1"/>
  <c r="L46" i="2"/>
  <c r="K56" i="2"/>
  <c r="P56" i="2" s="1"/>
  <c r="N56" i="2"/>
  <c r="O56" i="2" s="1"/>
  <c r="L56" i="2"/>
  <c r="N61" i="2"/>
  <c r="O61" i="2" s="1"/>
  <c r="L61" i="2"/>
  <c r="K61" i="2"/>
  <c r="P61" i="2" s="1"/>
  <c r="N71" i="2"/>
  <c r="O71" i="2" s="1"/>
  <c r="K71" i="2"/>
  <c r="P71" i="2" s="1"/>
  <c r="L71" i="2"/>
  <c r="K76" i="2"/>
  <c r="P76" i="2" s="1"/>
  <c r="N76" i="2"/>
  <c r="O76" i="2" s="1"/>
  <c r="L76" i="2"/>
  <c r="N78" i="2"/>
  <c r="O78" i="2" s="1"/>
  <c r="K78" i="2"/>
  <c r="P78" i="2" s="1"/>
  <c r="L78" i="2"/>
  <c r="N93" i="2"/>
  <c r="O93" i="2" s="1"/>
  <c r="L93" i="2"/>
  <c r="K93" i="2"/>
  <c r="P93" i="2" s="1"/>
  <c r="N98" i="2"/>
  <c r="O98" i="2" s="1"/>
  <c r="K98" i="2"/>
  <c r="P98" i="2" s="1"/>
  <c r="L98" i="2"/>
  <c r="K52" i="2"/>
  <c r="P52" i="2" s="1"/>
  <c r="N52" i="2"/>
  <c r="O52" i="2" s="1"/>
  <c r="L52" i="2"/>
  <c r="N67" i="2"/>
  <c r="O67" i="2" s="1"/>
  <c r="K67" i="2"/>
  <c r="P67" i="2" s="1"/>
  <c r="L67" i="2"/>
  <c r="N55" i="2"/>
  <c r="O55" i="2" s="1"/>
  <c r="K55" i="2"/>
  <c r="P55" i="2" s="1"/>
  <c r="L55" i="2"/>
  <c r="N77" i="2"/>
  <c r="O77" i="2" s="1"/>
  <c r="L77" i="2"/>
  <c r="K77" i="2"/>
  <c r="P77" i="2" s="1"/>
  <c r="N65" i="2"/>
  <c r="O65" i="2" s="1"/>
  <c r="K65" i="2"/>
  <c r="P65" i="2" s="1"/>
  <c r="L65" i="2"/>
  <c r="N82" i="2"/>
  <c r="O82" i="2" s="1"/>
  <c r="K82" i="2"/>
  <c r="P82" i="2" s="1"/>
  <c r="L82" i="2"/>
  <c r="K23" i="2"/>
  <c r="P23" i="2" s="1"/>
  <c r="N23" i="2"/>
  <c r="O23" i="2" s="1"/>
  <c r="L23" i="2"/>
  <c r="K44" i="2"/>
  <c r="P44" i="2" s="1"/>
  <c r="N44" i="2"/>
  <c r="O44" i="2" s="1"/>
  <c r="L44" i="2"/>
  <c r="N49" i="2"/>
  <c r="O49" i="2" s="1"/>
  <c r="K49" i="2"/>
  <c r="P49" i="2" s="1"/>
  <c r="L49" i="2"/>
  <c r="N59" i="2"/>
  <c r="O59" i="2" s="1"/>
  <c r="K59" i="2"/>
  <c r="P59" i="2" s="1"/>
  <c r="L59" i="2"/>
  <c r="N66" i="2"/>
  <c r="O66" i="2" s="1"/>
  <c r="K66" i="2"/>
  <c r="P66" i="2" s="1"/>
  <c r="L66" i="2"/>
  <c r="N81" i="2"/>
  <c r="O81" i="2" s="1"/>
  <c r="K81" i="2"/>
  <c r="P81" i="2" s="1"/>
  <c r="L81" i="2"/>
  <c r="N91" i="2"/>
  <c r="O91" i="2" s="1"/>
  <c r="K91" i="2"/>
  <c r="P91" i="2" s="1"/>
  <c r="L91" i="2"/>
  <c r="N101" i="2"/>
  <c r="O101" i="2" s="1"/>
  <c r="L101" i="2"/>
  <c r="K101" i="2"/>
  <c r="P101" i="2" s="1"/>
  <c r="N33" i="2"/>
  <c r="O33" i="2" s="1"/>
  <c r="K33" i="2"/>
  <c r="P33" i="2" s="1"/>
  <c r="L33" i="2"/>
  <c r="N47" i="2"/>
  <c r="O47" i="2" s="1"/>
  <c r="K47" i="2"/>
  <c r="P47" i="2" s="1"/>
  <c r="L47" i="2"/>
  <c r="N54" i="2"/>
  <c r="O54" i="2" s="1"/>
  <c r="K54" i="2"/>
  <c r="P54" i="2" s="1"/>
  <c r="L54" i="2"/>
  <c r="K64" i="2"/>
  <c r="P64" i="2" s="1"/>
  <c r="N64" i="2"/>
  <c r="O64" i="2" s="1"/>
  <c r="L64" i="2"/>
  <c r="N69" i="2"/>
  <c r="O69" i="2" s="1"/>
  <c r="L69" i="2"/>
  <c r="K69" i="2"/>
  <c r="P69" i="2" s="1"/>
  <c r="N79" i="2"/>
  <c r="O79" i="2" s="1"/>
  <c r="K79" i="2"/>
  <c r="P79" i="2" s="1"/>
  <c r="L79" i="2"/>
  <c r="K84" i="2"/>
  <c r="P84" i="2" s="1"/>
  <c r="N84" i="2"/>
  <c r="O84" i="2" s="1"/>
  <c r="L84" i="2"/>
  <c r="N86" i="2"/>
  <c r="O86" i="2" s="1"/>
  <c r="K86" i="2"/>
  <c r="P86" i="2" s="1"/>
  <c r="L86" i="2"/>
  <c r="K96" i="2"/>
  <c r="P96" i="2" s="1"/>
  <c r="N96" i="2"/>
  <c r="O96" i="2" s="1"/>
  <c r="L96" i="2"/>
  <c r="N99" i="2"/>
  <c r="O99" i="2" s="1"/>
  <c r="K99" i="2"/>
  <c r="P99" i="2" s="1"/>
  <c r="L99" i="2"/>
  <c r="N26" i="2"/>
  <c r="O26" i="2" s="1"/>
  <c r="K26" i="2"/>
  <c r="P26" i="2" s="1"/>
  <c r="N30" i="2"/>
  <c r="O30" i="2" s="1"/>
  <c r="K30" i="2"/>
  <c r="P30" i="2" s="1"/>
  <c r="N38" i="2"/>
  <c r="O38" i="2" s="1"/>
  <c r="K38" i="2"/>
  <c r="P38" i="2" s="1"/>
  <c r="I104" i="2"/>
  <c r="J104" i="2" s="1"/>
  <c r="F106" i="2"/>
  <c r="K15" i="2"/>
  <c r="P15" i="2" s="1"/>
  <c r="K19" i="2"/>
  <c r="P19" i="2" s="1"/>
  <c r="K25" i="2"/>
  <c r="P25" i="2" s="1"/>
  <c r="L26" i="2"/>
  <c r="K29" i="2"/>
  <c r="P29" i="2" s="1"/>
  <c r="L30" i="2"/>
  <c r="K37" i="2"/>
  <c r="P37" i="2" s="1"/>
  <c r="L38" i="2"/>
  <c r="L25" i="2"/>
  <c r="L29" i="2"/>
  <c r="L37" i="2"/>
  <c r="I103" i="2"/>
  <c r="J103" i="2" s="1"/>
  <c r="J5" i="2"/>
  <c r="E17" i="1" s="1"/>
  <c r="I24" i="2"/>
  <c r="J24" i="2" s="1"/>
  <c r="I27" i="2"/>
  <c r="J27" i="2" s="1"/>
  <c r="I28" i="2"/>
  <c r="J28" i="2" s="1"/>
  <c r="F11" i="3"/>
  <c r="E14" i="3"/>
  <c r="E12" i="3"/>
  <c r="E15" i="3"/>
  <c r="E16" i="3"/>
  <c r="N11" i="2" l="1"/>
  <c r="O11" i="2" s="1"/>
  <c r="K14" i="2"/>
  <c r="P14" i="2" s="1"/>
  <c r="L14" i="2"/>
  <c r="N13" i="2"/>
  <c r="O13" i="2" s="1"/>
  <c r="K13" i="2"/>
  <c r="P13" i="2" s="1"/>
  <c r="L11" i="2"/>
  <c r="J10" i="2"/>
  <c r="E19" i="1" s="1"/>
  <c r="D20" i="1"/>
  <c r="D17" i="1"/>
  <c r="N8" i="2"/>
  <c r="O8" i="2" s="1"/>
  <c r="D18" i="1"/>
  <c r="K8" i="2"/>
  <c r="P8" i="2" s="1"/>
  <c r="K7" i="2"/>
  <c r="P7" i="2" s="1"/>
  <c r="N7" i="2"/>
  <c r="O7" i="2" s="1"/>
  <c r="J6" i="2"/>
  <c r="E18" i="1" s="1"/>
  <c r="N28" i="2"/>
  <c r="O28" i="2" s="1"/>
  <c r="L28" i="2"/>
  <c r="K28" i="2"/>
  <c r="P28" i="2" s="1"/>
  <c r="I106" i="2"/>
  <c r="B10" i="1"/>
  <c r="N24" i="2"/>
  <c r="O24" i="2" s="1"/>
  <c r="L24" i="2"/>
  <c r="K24" i="2"/>
  <c r="P24" i="2" s="1"/>
  <c r="K27" i="2"/>
  <c r="P27" i="2" s="1"/>
  <c r="N27" i="2"/>
  <c r="O27" i="2" s="1"/>
  <c r="L27" i="2"/>
  <c r="K5" i="2"/>
  <c r="N5" i="2"/>
  <c r="L5" i="2"/>
  <c r="N103" i="2"/>
  <c r="O103" i="2" s="1"/>
  <c r="L103" i="2"/>
  <c r="K103" i="2"/>
  <c r="P103" i="2" s="1"/>
  <c r="L104" i="2"/>
  <c r="K104" i="2"/>
  <c r="P104" i="2" s="1"/>
  <c r="N104" i="2"/>
  <c r="O104" i="2" s="1"/>
  <c r="F17" i="1" l="1"/>
  <c r="E20" i="1"/>
  <c r="K10" i="2"/>
  <c r="F19" i="1" s="1"/>
  <c r="N10" i="2"/>
  <c r="O10" i="2" s="1"/>
  <c r="L10" i="2"/>
  <c r="K6" i="2"/>
  <c r="L6" i="2"/>
  <c r="N6" i="2"/>
  <c r="O6" i="2" s="1"/>
  <c r="J106" i="2"/>
  <c r="E6" i="1"/>
  <c r="E9" i="1" s="1"/>
  <c r="P5" i="2"/>
  <c r="O5" i="2"/>
  <c r="L106" i="2" l="1"/>
  <c r="K106" i="2"/>
  <c r="N106" i="2"/>
  <c r="P10" i="2"/>
  <c r="F20" i="1"/>
  <c r="E7" i="1"/>
  <c r="E10" i="1" s="1"/>
  <c r="F10" i="1" s="1"/>
  <c r="E8" i="1"/>
  <c r="P6" i="2"/>
  <c r="F18" i="1"/>
  <c r="P106" i="2" l="1"/>
</calcChain>
</file>

<file path=xl/sharedStrings.xml><?xml version="1.0" encoding="utf-8"?>
<sst xmlns="http://schemas.openxmlformats.org/spreadsheetml/2006/main" count="164" uniqueCount="138">
  <si>
    <t>Gold Portfolio Valuation Dashboard</t>
  </si>
  <si>
    <t>Update the highlighted spot price on the Purity &amp; Rates sheet, then enter each piece on the Item Calculator.</t>
  </si>
  <si>
    <t>Key Assumption</t>
  </si>
  <si>
    <t>Value</t>
  </si>
  <si>
    <t>Portfolio Value Scenarios</t>
  </si>
  <si>
    <t>Gold Spot Price ($/troy oz)</t>
  </si>
  <si>
    <t>Scenario</t>
  </si>
  <si>
    <t>Estimated Value</t>
  </si>
  <si>
    <t>Dealer Payout %</t>
  </si>
  <si>
    <t>Full Melt Value</t>
  </si>
  <si>
    <t>Pawn Payout %</t>
  </si>
  <si>
    <t>Dealer Estimate</t>
  </si>
  <si>
    <t>Items Entered</t>
  </si>
  <si>
    <t>Pawn Estimate</t>
  </si>
  <si>
    <t>Gross Weight (g)</t>
  </si>
  <si>
    <t>Gain/(Loss) at Melt</t>
  </si>
  <si>
    <t>Pure Gold Weight (g)</t>
  </si>
  <si>
    <t>Gain/(Loss) at Dealer</t>
  </si>
  <si>
    <t>Total Purchase Cost ($)</t>
  </si>
  <si>
    <t>Karat Summary</t>
  </si>
  <si>
    <t>Item Count</t>
  </si>
  <si>
    <t>Net Gold Weight (g)</t>
  </si>
  <si>
    <t>Pure Gold (g)</t>
  </si>
  <si>
    <t>Melt Value ($)</t>
  </si>
  <si>
    <t>Dealer Estimate ($)</t>
  </si>
  <si>
    <t>24K</t>
  </si>
  <si>
    <t>22K</t>
  </si>
  <si>
    <t>18K</t>
  </si>
  <si>
    <t>14K</t>
  </si>
  <si>
    <t>10K</t>
  </si>
  <si>
    <t>Custom</t>
  </si>
  <si>
    <t>How to Use This Model</t>
  </si>
  <si>
    <t>1.</t>
  </si>
  <si>
    <t>Calibrate the pocket scale and set it to grams.</t>
  </si>
  <si>
    <t>2.</t>
  </si>
  <si>
    <t>Identify the hallmark or tested karat. Use Custom only when entering a measured purity override.</t>
  </si>
  <si>
    <t>3.</t>
  </si>
  <si>
    <t>Enter gross weight and deduct stones/non-gold parts. The workbook calculates net weight, pure-gold content, and values.</t>
  </si>
  <si>
    <t>4.</t>
  </si>
  <si>
    <t>Enter what you paid for each piece to calculate investment gain/loss and ROI.</t>
  </si>
  <si>
    <t>5.</t>
  </si>
  <si>
    <t>Treat full melt value as a theoretical ceiling before refining and transaction costs; dealer and pawn values are modeled estimates.</t>
  </si>
  <si>
    <t>6.</t>
  </si>
  <si>
    <t>Update the spot price whenever you want a current valuation.</t>
  </si>
  <si>
    <t>Gold Item Valuation Ledger</t>
  </si>
  <si>
    <t>Enter blue-font cells only. Keep different karats on separate rows. Use the non-gold deduction for stones, clasps, springs, or other components.</t>
  </si>
  <si>
    <t>Item #</t>
  </si>
  <si>
    <t>Description</t>
  </si>
  <si>
    <t>Karat</t>
  </si>
  <si>
    <t>Non-Gold Deduction (g)</t>
  </si>
  <si>
    <t>Purity Override %</t>
  </si>
  <si>
    <t>Applied Purity %</t>
  </si>
  <si>
    <t>Dealer Est. 90% ($)</t>
  </si>
  <si>
    <t>Pawn Est. 75% ($)</t>
  </si>
  <si>
    <t>Purchase Cost ($)</t>
  </si>
  <si>
    <t>Gain/(Loss) at Melt ($)</t>
  </si>
  <si>
    <t>ROI at Melt</t>
  </si>
  <si>
    <t>Gain/(Loss) at Dealer ($)</t>
  </si>
  <si>
    <t>Hallmark / Test Notes</t>
  </si>
  <si>
    <t>Status</t>
  </si>
  <si>
    <t>TOTALS</t>
  </si>
  <si>
    <t>Gold Purity &amp; Valuation Reference</t>
  </si>
  <si>
    <t>Reference Inputs</t>
  </si>
  <si>
    <t>Spot Price ($/troy oz)</t>
  </si>
  <si>
    <t>Grams per Troy Ounce</t>
  </si>
  <si>
    <t>Reference Date/Source</t>
  </si>
  <si>
    <t>User-provided printed valuation sheet</t>
  </si>
  <si>
    <t>Purity %</t>
  </si>
  <si>
    <t>Common Hallmark</t>
  </si>
  <si>
    <t>Melt Value / g</t>
  </si>
  <si>
    <t>Dealer Est. / g</t>
  </si>
  <si>
    <t>Pawn Est. / g</t>
  </si>
  <si>
    <t>999 / 999.9</t>
  </si>
  <si>
    <t>916</t>
  </si>
  <si>
    <t>750</t>
  </si>
  <si>
    <t>583 / 585</t>
  </si>
  <si>
    <t>416 / 417</t>
  </si>
  <si>
    <t>Use purity override on Item Calculator</t>
  </si>
  <si>
    <t>Reference Formula</t>
  </si>
  <si>
    <t>Intrinsic melt value:</t>
  </si>
  <si>
    <t>Net gold-bearing weight (g) × purity × [spot price ÷ 31.1035]</t>
  </si>
  <si>
    <t>V = M × P × (S ÷ 31.1035)</t>
  </si>
  <si>
    <t>M</t>
  </si>
  <si>
    <t>Net gold-bearing mass in grams</t>
  </si>
  <si>
    <t>P</t>
  </si>
  <si>
    <t>Applied purity percentage</t>
  </si>
  <si>
    <t>S</t>
  </si>
  <si>
    <t>Gold spot price per troy ounce</t>
  </si>
  <si>
    <t>Important Deductions / Checks</t>
  </si>
  <si>
    <t>1</t>
  </si>
  <si>
    <t>Weigh stones, clasps, springs, watch movements, and non-gold components separately or estimate a deduction.</t>
  </si>
  <si>
    <t>2</t>
  </si>
  <si>
    <t>Sort items by hallmark/karat before weighing. Do not combine different purities in one row.</t>
  </si>
  <si>
    <t>3</t>
  </si>
  <si>
    <t>Gold-plated, gold-filled, rolled-gold, and vermeil pieces are not valued as solid-gold melt unless tested and separated.</t>
  </si>
  <si>
    <t>4</t>
  </si>
  <si>
    <t>A buyer's offer may be below modeled dealer or pawn estimates because of testing fees, refining costs, condition, resale value, or uncertainty.</t>
  </si>
  <si>
    <t>5</t>
  </si>
  <si>
    <t>Use a calibrated gram scale. Record weight to the scale's reliable precision.</t>
  </si>
  <si>
    <t>Gold Valuation Method — Practical Guide</t>
  </si>
  <si>
    <t>Topic</t>
  </si>
  <si>
    <t>Guidance</t>
  </si>
  <si>
    <t>Scale</t>
  </si>
  <si>
    <t>Use grams, place the scale on a stable surface, calibrate it, and repeat the reading at least twice.</t>
  </si>
  <si>
    <t>Hallmarks</t>
  </si>
  <si>
    <t>Common solid-gold marks include 24K/999, 22K/916, 18K/750, 14K/585, and 10K/417.</t>
  </si>
  <si>
    <t>Purity Override</t>
  </si>
  <si>
    <t>Only use this field when an acid test, XRF test, or reliable assay gives a purity that differs from the hallmark.</t>
  </si>
  <si>
    <t>Stones &amp; Parts</t>
  </si>
  <si>
    <t>Deduct estimated non-gold weight. For high-value pieces, professional stone removal or XRF testing may be worthwhile.</t>
  </si>
  <si>
    <t>Melt Value</t>
  </si>
  <si>
    <t>Theoretical intrinsic value of contained gold at the entered spot price before refining, shipping, testing, and transaction costs.</t>
  </si>
  <si>
    <t>Modeled at 90% of melt value, matching the reference sheet. Actual offers vary.</t>
  </si>
  <si>
    <t>Modeled at 75% of melt value, matching the reference sheet. Actual offers vary.</t>
  </si>
  <si>
    <t>Investment Tracking</t>
  </si>
  <si>
    <t>Enter purchase cost to calculate unrealized gain/loss. Keep receipts, photographs, test results, and identifying notes.</t>
  </si>
  <si>
    <t>Warning</t>
  </si>
  <si>
    <t>Do not value plated, filled, or vermeil items as solid gold without testing. A hallmark alone is not conclusive.</t>
  </si>
  <si>
    <t>Source / Assumption Notes</t>
  </si>
  <si>
    <t>Reference sheet</t>
  </si>
  <si>
    <t>Gold Purity Valuation Reference supplied by the user; baseline spot price $4,162.50/troy ounce.</t>
  </si>
  <si>
    <t>Dealer model</t>
  </si>
  <si>
    <t>90% of calculated melt value.</t>
  </si>
  <si>
    <t>Pawn model</t>
  </si>
  <si>
    <t>75% of calculated melt value.</t>
  </si>
  <si>
    <t>Dynamic use</t>
  </si>
  <si>
    <t>Because gold prices move continuously, replace the yellow spot-price input before making a current decision.</t>
  </si>
  <si>
    <t>Gold Bracelet (Twisted)</t>
  </si>
  <si>
    <t>Gold Bracelet (Link)</t>
  </si>
  <si>
    <t>Gold Necklace (Smooth)</t>
  </si>
  <si>
    <t>Gold Necklace (Braided)</t>
  </si>
  <si>
    <t>Gold Necklace (TightLink)</t>
  </si>
  <si>
    <t>Earrings (Twist)</t>
  </si>
  <si>
    <t>Ring (Moon)</t>
  </si>
  <si>
    <t>Pendant</t>
  </si>
  <si>
    <t>Ring (Ruby)</t>
  </si>
  <si>
    <t>Ring (Blue Stone)</t>
  </si>
  <si>
    <t>75%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</si>
</sst>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\-"/>
    <numFmt numFmtId="165" formatCode="0.0%;[Red]\(0.0%\);\-"/>
    <numFmt numFmtId="166" formatCode="0.0000"/>
    <numFmt numFmtId="167" formatCode="0.000\ &quot;g&quot;;[Red]\(0.000\ &quot;g&quot;\);\-"/>
  </numFmts>
  <fonts count="9">
    <font>
      <sz val="11"/>
      <name val="Carlito"/>
    </font>
    <font>
      <b/>
      <sz val="17"/>
      <color rgb="FFFFFFFF"/>
      <name val="Calibri"/>
    </font>
    <font>
      <sz val="11"/>
      <name val="Calibri"/>
    </font>
    <font>
      <i/>
      <sz val="11"/>
      <color rgb="FF2F2F2F"/>
      <name val="Calibri"/>
    </font>
    <font>
      <b/>
      <sz val="11"/>
      <color rgb="FF2F2F2F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B2A20"/>
      </patternFill>
    </fill>
    <fill>
      <patternFill patternType="solid">
        <fgColor rgb="FFC9A227"/>
      </patternFill>
    </fill>
    <fill>
      <patternFill patternType="solid">
        <fgColor rgb="FFFFF59D"/>
      </patternFill>
    </fill>
    <fill>
      <patternFill patternType="solid">
        <fgColor rgb="FF2F2F2F"/>
      </patternFill>
    </fill>
    <fill>
      <patternFill patternType="solid">
        <fgColor rgb="FFFBF7ED"/>
      </patternFill>
    </fill>
    <fill>
      <patternFill patternType="solid">
        <fgColor rgb="FFF5E8B7"/>
      </patternFill>
    </fill>
  </fills>
  <borders count="24">
    <border>
      <left/>
      <right/>
      <top/>
      <bottom/>
      <diagonal/>
    </border>
    <border>
      <left style="thin">
        <color rgb="FFBDB5A7"/>
      </left>
      <right/>
      <top style="thin">
        <color rgb="FFBDB5A7"/>
      </top>
      <bottom/>
      <diagonal/>
    </border>
    <border>
      <left/>
      <right style="thin">
        <color rgb="FFBDB5A7"/>
      </right>
      <top style="thin">
        <color rgb="FFBDB5A7"/>
      </top>
      <bottom/>
      <diagonal/>
    </border>
    <border>
      <left style="thin">
        <color rgb="FFBDB5A7"/>
      </left>
      <right/>
      <top/>
      <bottom/>
      <diagonal/>
    </border>
    <border>
      <left/>
      <right style="thin">
        <color rgb="FFBDB5A7"/>
      </right>
      <top/>
      <bottom/>
      <diagonal/>
    </border>
    <border>
      <left style="thin">
        <color rgb="FFBDB5A7"/>
      </left>
      <right/>
      <top/>
      <bottom style="thin">
        <color rgb="FFBDB5A7"/>
      </bottom>
      <diagonal/>
    </border>
    <border>
      <left/>
      <right style="thin">
        <color rgb="FFBDB5A7"/>
      </right>
      <top/>
      <bottom style="thin">
        <color rgb="FFBDB5A7"/>
      </bottom>
      <diagonal/>
    </border>
    <border>
      <left style="thin">
        <color rgb="FFC8C1B5"/>
      </left>
      <right/>
      <top style="thin">
        <color rgb="FFC8C1B5"/>
      </top>
      <bottom/>
      <diagonal/>
    </border>
    <border>
      <left/>
      <right/>
      <top style="thin">
        <color rgb="FFC8C1B5"/>
      </top>
      <bottom/>
      <diagonal/>
    </border>
    <border>
      <left/>
      <right style="thin">
        <color rgb="FFC8C1B5"/>
      </right>
      <top style="thin">
        <color rgb="FFC8C1B5"/>
      </top>
      <bottom/>
      <diagonal/>
    </border>
    <border>
      <left style="thin">
        <color rgb="FFC8C1B5"/>
      </left>
      <right/>
      <top/>
      <bottom/>
      <diagonal/>
    </border>
    <border>
      <left/>
      <right style="thin">
        <color rgb="FFC8C1B5"/>
      </right>
      <top/>
      <bottom/>
      <diagonal/>
    </border>
    <border>
      <left style="thin">
        <color rgb="FFC8C1B5"/>
      </left>
      <right/>
      <top/>
      <bottom style="thin">
        <color rgb="FFC8C1B5"/>
      </bottom>
      <diagonal/>
    </border>
    <border>
      <left/>
      <right/>
      <top/>
      <bottom style="thin">
        <color rgb="FFC8C1B5"/>
      </bottom>
      <diagonal/>
    </border>
    <border>
      <left/>
      <right style="thin">
        <color rgb="FFC8C1B5"/>
      </right>
      <top/>
      <bottom style="thin">
        <color rgb="FFC8C1B5"/>
      </bottom>
      <diagonal/>
    </border>
    <border>
      <left style="thin">
        <color rgb="FFD8D2C7"/>
      </left>
      <right/>
      <top style="thin">
        <color rgb="FFD8D2C7"/>
      </top>
      <bottom/>
      <diagonal/>
    </border>
    <border>
      <left/>
      <right/>
      <top style="thin">
        <color rgb="FFD8D2C7"/>
      </top>
      <bottom/>
      <diagonal/>
    </border>
    <border>
      <left/>
      <right style="thin">
        <color rgb="FFD8D2C7"/>
      </right>
      <top style="thin">
        <color rgb="FFD8D2C7"/>
      </top>
      <bottom/>
      <diagonal/>
    </border>
    <border>
      <left style="thin">
        <color rgb="FFD8D2C7"/>
      </left>
      <right/>
      <top/>
      <bottom/>
      <diagonal/>
    </border>
    <border>
      <left/>
      <right style="thin">
        <color rgb="FFD8D2C7"/>
      </right>
      <top/>
      <bottom/>
      <diagonal/>
    </border>
    <border>
      <left style="thin">
        <color rgb="FFD8D2C7"/>
      </left>
      <right/>
      <top/>
      <bottom style="thin">
        <color rgb="FFD8D2C7"/>
      </bottom>
      <diagonal/>
    </border>
    <border>
      <left/>
      <right/>
      <top/>
      <bottom style="thin">
        <color rgb="FFD8D2C7"/>
      </bottom>
      <diagonal/>
    </border>
    <border>
      <left/>
      <right style="thin">
        <color rgb="FFD8D2C7"/>
      </right>
      <top/>
      <bottom style="thin">
        <color rgb="FFD8D2C7"/>
      </bottom>
      <diagonal/>
    </border>
    <border>
      <left/>
      <right/>
      <top style="medium">
        <color rgb="FF3B2A20"/>
      </top>
      <bottom style="thin">
        <color rgb="FF3B2A2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NumberFormat="1" applyFont="1" applyFill="1" applyBorder="1"/>
    <xf numFmtId="0" fontId="4" fillId="3" borderId="1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/>
    <xf numFmtId="164" fontId="2" fillId="0" borderId="4" xfId="0" applyNumberFormat="1" applyFont="1" applyFill="1" applyBorder="1"/>
    <xf numFmtId="165" fontId="2" fillId="0" borderId="4" xfId="0" applyNumberFormat="1" applyFont="1" applyFill="1" applyBorder="1"/>
    <xf numFmtId="1" fontId="2" fillId="0" borderId="4" xfId="0" applyNumberFormat="1" applyFont="1" applyFill="1" applyBorder="1"/>
    <xf numFmtId="167" fontId="2" fillId="0" borderId="4" xfId="0" applyNumberFormat="1" applyFont="1" applyFill="1" applyBorder="1"/>
    <xf numFmtId="0" fontId="2" fillId="0" borderId="5" xfId="0" applyNumberFormat="1" applyFont="1" applyFill="1" applyBorder="1"/>
    <xf numFmtId="164" fontId="2" fillId="0" borderId="6" xfId="0" applyNumberFormat="1" applyFont="1" applyFill="1" applyBorder="1"/>
    <xf numFmtId="0" fontId="5" fillId="5" borderId="7" xfId="0" applyNumberFormat="1" applyFont="1" applyFill="1" applyBorder="1" applyAlignment="1">
      <alignment horizontal="center" wrapText="1"/>
    </xf>
    <xf numFmtId="0" fontId="5" fillId="5" borderId="8" xfId="0" applyNumberFormat="1" applyFont="1" applyFill="1" applyBorder="1" applyAlignment="1">
      <alignment horizontal="center" wrapText="1"/>
    </xf>
    <xf numFmtId="0" fontId="5" fillId="5" borderId="9" xfId="0" applyNumberFormat="1" applyFont="1" applyFill="1" applyBorder="1" applyAlignment="1">
      <alignment horizontal="center" wrapText="1"/>
    </xf>
    <xf numFmtId="0" fontId="2" fillId="6" borderId="10" xfId="0" applyNumberFormat="1" applyFont="1" applyFill="1" applyBorder="1"/>
    <xf numFmtId="1" fontId="2" fillId="6" borderId="0" xfId="0" applyNumberFormat="1" applyFont="1" applyFill="1" applyBorder="1"/>
    <xf numFmtId="167" fontId="2" fillId="6" borderId="0" xfId="0" applyNumberFormat="1" applyFont="1" applyFill="1" applyBorder="1"/>
    <xf numFmtId="164" fontId="2" fillId="6" borderId="0" xfId="0" applyNumberFormat="1" applyFont="1" applyFill="1" applyBorder="1"/>
    <xf numFmtId="164" fontId="2" fillId="6" borderId="11" xfId="0" applyNumberFormat="1" applyFont="1" applyFill="1" applyBorder="1"/>
    <xf numFmtId="0" fontId="2" fillId="6" borderId="12" xfId="0" applyNumberFormat="1" applyFont="1" applyFill="1" applyBorder="1"/>
    <xf numFmtId="1" fontId="2" fillId="6" borderId="13" xfId="0" applyNumberFormat="1" applyFont="1" applyFill="1" applyBorder="1"/>
    <xf numFmtId="167" fontId="2" fillId="6" borderId="13" xfId="0" applyNumberFormat="1" applyFont="1" applyFill="1" applyBorder="1"/>
    <xf numFmtId="164" fontId="2" fillId="6" borderId="13" xfId="0" applyNumberFormat="1" applyFont="1" applyFill="1" applyBorder="1"/>
    <xf numFmtId="164" fontId="2" fillId="6" borderId="14" xfId="0" applyNumberFormat="1" applyFont="1" applyFill="1" applyBorder="1"/>
    <xf numFmtId="0" fontId="2" fillId="0" borderId="1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2" fillId="0" borderId="12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/>
    </xf>
    <xf numFmtId="0" fontId="7" fillId="0" borderId="15" xfId="0" applyNumberFormat="1" applyFont="1" applyFill="1" applyBorder="1" applyAlignment="1">
      <alignment vertical="center" wrapText="1"/>
    </xf>
    <xf numFmtId="0" fontId="7" fillId="0" borderId="16" xfId="0" applyNumberFormat="1" applyFont="1" applyFill="1" applyBorder="1" applyAlignment="1">
      <alignment vertical="center"/>
    </xf>
    <xf numFmtId="167" fontId="7" fillId="0" borderId="16" xfId="0" applyNumberFormat="1" applyFont="1" applyFill="1" applyBorder="1" applyAlignment="1">
      <alignment vertical="center"/>
    </xf>
    <xf numFmtId="167" fontId="2" fillId="0" borderId="16" xfId="0" applyNumberFormat="1" applyFont="1" applyFill="1" applyBorder="1" applyAlignment="1">
      <alignment vertical="center"/>
    </xf>
    <xf numFmtId="165" fontId="7" fillId="0" borderId="16" xfId="0" applyNumberFormat="1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4" fontId="2" fillId="0" borderId="16" xfId="0" applyNumberFormat="1" applyFont="1" applyFill="1" applyBorder="1" applyAlignment="1">
      <alignment vertical="center"/>
    </xf>
    <xf numFmtId="164" fontId="7" fillId="0" borderId="16" xfId="0" applyNumberFormat="1" applyFont="1" applyFill="1" applyBorder="1" applyAlignment="1">
      <alignment vertical="center"/>
    </xf>
    <xf numFmtId="0" fontId="7" fillId="0" borderId="16" xfId="0" applyNumberFormat="1" applyFont="1" applyFill="1" applyBorder="1" applyAlignment="1">
      <alignment vertical="center" wrapText="1"/>
    </xf>
    <xf numFmtId="0" fontId="7" fillId="0" borderId="17" xfId="0" applyNumberFormat="1" applyFont="1" applyFill="1" applyBorder="1" applyAlignment="1">
      <alignment vertical="center"/>
    </xf>
    <xf numFmtId="0" fontId="7" fillId="0" borderId="18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/>
    </xf>
    <xf numFmtId="167" fontId="7" fillId="0" borderId="0" xfId="0" applyNumberFormat="1" applyFont="1" applyFill="1" applyBorder="1" applyAlignment="1">
      <alignment vertical="center"/>
    </xf>
    <xf numFmtId="167" fontId="2" fillId="0" borderId="0" xfId="0" applyNumberFormat="1" applyFont="1" applyFill="1" applyBorder="1" applyAlignment="1">
      <alignment vertical="center"/>
    </xf>
    <xf numFmtId="165" fontId="7" fillId="0" borderId="0" xfId="0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7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 wrapText="1"/>
    </xf>
    <xf numFmtId="0" fontId="7" fillId="0" borderId="19" xfId="0" applyNumberFormat="1" applyFont="1" applyFill="1" applyBorder="1" applyAlignment="1">
      <alignment vertical="center"/>
    </xf>
    <xf numFmtId="0" fontId="7" fillId="0" borderId="20" xfId="0" applyNumberFormat="1" applyFont="1" applyFill="1" applyBorder="1" applyAlignment="1">
      <alignment vertical="center" wrapText="1"/>
    </xf>
    <xf numFmtId="0" fontId="7" fillId="0" borderId="21" xfId="0" applyNumberFormat="1" applyFont="1" applyFill="1" applyBorder="1" applyAlignment="1">
      <alignment vertical="center"/>
    </xf>
    <xf numFmtId="167" fontId="7" fillId="0" borderId="21" xfId="0" applyNumberFormat="1" applyFont="1" applyFill="1" applyBorder="1" applyAlignment="1">
      <alignment vertical="center"/>
    </xf>
    <xf numFmtId="167" fontId="2" fillId="0" borderId="21" xfId="0" applyNumberFormat="1" applyFont="1" applyFill="1" applyBorder="1" applyAlignment="1">
      <alignment vertical="center"/>
    </xf>
    <xf numFmtId="165" fontId="7" fillId="0" borderId="21" xfId="0" applyNumberFormat="1" applyFont="1" applyFill="1" applyBorder="1" applyAlignment="1">
      <alignment vertical="center"/>
    </xf>
    <xf numFmtId="165" fontId="2" fillId="0" borderId="21" xfId="0" applyNumberFormat="1" applyFont="1" applyFill="1" applyBorder="1" applyAlignment="1">
      <alignment vertical="center"/>
    </xf>
    <xf numFmtId="164" fontId="2" fillId="0" borderId="21" xfId="0" applyNumberFormat="1" applyFont="1" applyFill="1" applyBorder="1" applyAlignment="1">
      <alignment vertical="center"/>
    </xf>
    <xf numFmtId="164" fontId="7" fillId="0" borderId="21" xfId="0" applyNumberFormat="1" applyFont="1" applyFill="1" applyBorder="1" applyAlignment="1">
      <alignment vertical="center"/>
    </xf>
    <xf numFmtId="0" fontId="7" fillId="0" borderId="21" xfId="0" applyNumberFormat="1" applyFont="1" applyFill="1" applyBorder="1" applyAlignment="1">
      <alignment vertical="center" wrapText="1"/>
    </xf>
    <xf numFmtId="0" fontId="7" fillId="0" borderId="22" xfId="0" applyNumberFormat="1" applyFont="1" applyFill="1" applyBorder="1" applyAlignment="1">
      <alignment vertical="center"/>
    </xf>
    <xf numFmtId="0" fontId="4" fillId="7" borderId="23" xfId="0" applyNumberFormat="1" applyFont="1" applyFill="1" applyBorder="1"/>
    <xf numFmtId="167" fontId="4" fillId="7" borderId="23" xfId="0" applyNumberFormat="1" applyFont="1" applyFill="1" applyBorder="1"/>
    <xf numFmtId="164" fontId="4" fillId="7" borderId="23" xfId="0" applyNumberFormat="1" applyFont="1" applyFill="1" applyBorder="1"/>
    <xf numFmtId="165" fontId="4" fillId="7" borderId="23" xfId="0" applyNumberFormat="1" applyFont="1" applyFill="1" applyBorder="1"/>
    <xf numFmtId="0" fontId="8" fillId="0" borderId="3" xfId="0" applyNumberFormat="1" applyFont="1" applyFill="1" applyBorder="1"/>
    <xf numFmtId="164" fontId="7" fillId="4" borderId="4" xfId="0" applyNumberFormat="1" applyFont="1" applyFill="1" applyBorder="1"/>
    <xf numFmtId="165" fontId="7" fillId="0" borderId="4" xfId="0" applyNumberFormat="1" applyFont="1" applyFill="1" applyBorder="1"/>
    <xf numFmtId="166" fontId="7" fillId="0" borderId="4" xfId="0" applyNumberFormat="1" applyFont="1" applyFill="1" applyBorder="1"/>
    <xf numFmtId="0" fontId="8" fillId="0" borderId="5" xfId="0" applyNumberFormat="1" applyFont="1" applyFill="1" applyBorder="1"/>
    <xf numFmtId="0" fontId="2" fillId="0" borderId="6" xfId="0" applyNumberFormat="1" applyFont="1" applyFill="1" applyBorder="1"/>
    <xf numFmtId="165" fontId="2" fillId="6" borderId="0" xfId="0" applyNumberFormat="1" applyFont="1" applyFill="1" applyBorder="1"/>
    <xf numFmtId="0" fontId="2" fillId="6" borderId="0" xfId="0" applyNumberFormat="1" applyFont="1" applyFill="1" applyBorder="1"/>
    <xf numFmtId="165" fontId="2" fillId="6" borderId="13" xfId="0" applyNumberFormat="1" applyFont="1" applyFill="1" applyBorder="1"/>
    <xf numFmtId="0" fontId="2" fillId="6" borderId="13" xfId="0" applyNumberFormat="1" applyFont="1" applyFill="1" applyBorder="1"/>
    <xf numFmtId="0" fontId="2" fillId="6" borderId="0" xfId="0" applyNumberFormat="1" applyFont="1" applyFill="1" applyBorder="1" applyAlignment="1">
      <alignment wrapText="1"/>
    </xf>
    <xf numFmtId="0" fontId="4" fillId="3" borderId="7" xfId="0" applyNumberFormat="1" applyFont="1" applyFill="1" applyBorder="1" applyAlignment="1">
      <alignment wrapText="1"/>
    </xf>
    <xf numFmtId="0" fontId="4" fillId="3" borderId="8" xfId="0" applyNumberFormat="1" applyFont="1" applyFill="1" applyBorder="1" applyAlignment="1">
      <alignment wrapText="1"/>
    </xf>
    <xf numFmtId="0" fontId="4" fillId="3" borderId="9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3" fillId="7" borderId="0" xfId="0" applyNumberFormat="1" applyFont="1" applyFill="1" applyBorder="1" applyAlignment="1">
      <alignment horizontal="center"/>
    </xf>
    <xf numFmtId="0" fontId="5" fillId="5" borderId="0" xfId="0" applyNumberFormat="1" applyFont="1" applyFill="1" applyBorder="1" applyAlignment="1">
      <alignment horizontal="center"/>
    </xf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4" fillId="3" borderId="9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2" fillId="0" borderId="11" xfId="0" applyNumberFormat="1" applyFont="1" applyFill="1" applyBorder="1" applyAlignment="1">
      <alignment wrapText="1"/>
    </xf>
    <xf numFmtId="0" fontId="2" fillId="0" borderId="13" xfId="0" applyNumberFormat="1" applyFont="1" applyFill="1" applyBorder="1" applyAlignment="1">
      <alignment wrapText="1"/>
    </xf>
    <xf numFmtId="0" fontId="2" fillId="0" borderId="14" xfId="0" applyNumberFormat="1" applyFont="1" applyFill="1" applyBorder="1" applyAlignment="1">
      <alignment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7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/>
    <xf numFmtId="0" fontId="2" fillId="6" borderId="0" xfId="0" applyNumberFormat="1" applyFont="1" applyFill="1" applyBorder="1" applyAlignment="1">
      <alignment wrapText="1"/>
    </xf>
    <xf numFmtId="0" fontId="6" fillId="2" borderId="0" xfId="0" applyNumberFormat="1" applyFont="1" applyFill="1" applyBorder="1" applyAlignment="1">
      <alignment horizontal="center"/>
    </xf>
    <xf numFmtId="0" fontId="5" fillId="5" borderId="0" xfId="0" applyNumberFormat="1" applyFont="1" applyFill="1" applyBorder="1" applyAlignment="1">
      <alignment wrapText="1"/>
    </xf>
  </cellXfs>
  <cellStyles count="1">
    <cellStyle name="Normal" xfId="0" builtinId="0"/>
  </cellStyles>
  <dxfs count="7">
    <dxf>
      <font>
        <color rgb="FF2E7D32"/>
      </font>
      <fill>
        <patternFill patternType="solid">
          <bgColor rgb="FFEAF5EA"/>
        </patternFill>
      </fill>
    </dxf>
    <dxf>
      <font>
        <color rgb="FFB71C1C"/>
      </font>
      <fill>
        <patternFill patternType="solid">
          <bgColor rgb="FFFDECEC"/>
        </patternFill>
      </fill>
    </dxf>
    <dxf>
      <fill>
        <patternFill patternType="solid">
          <bgColor rgb="FFD9EAD3"/>
        </patternFill>
      </fill>
    </dxf>
    <dxf>
      <font>
        <color rgb="FF2E7D32"/>
      </font>
      <fill>
        <patternFill patternType="solid">
          <bgColor rgb="FFEAF5EA"/>
        </patternFill>
      </fill>
    </dxf>
    <dxf>
      <font>
        <color rgb="FFB71C1C"/>
      </font>
      <fill>
        <patternFill patternType="solid">
          <bgColor rgb="FFFDECEC"/>
        </patternFill>
      </fill>
    </dxf>
    <dxf>
      <font>
        <color rgb="FF2E7D32"/>
      </font>
      <fill>
        <patternFill patternType="solid">
          <bgColor rgb="FFEAF5EA"/>
        </patternFill>
      </fill>
    </dxf>
    <dxf>
      <font>
        <color rgb="FFB71C1C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Melt Value by Karat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C41-4294-95B3-0A5866F17424}"/>
            </c:ext>
          </c:extLst>
        </c:ser>
        <c:ser>
          <c:idx val="1"/>
          <c:order val="1"/>
          <c:tx>
            <c:v>Melt Value</c:v>
          </c:tx>
          <c:invertIfNegative val="1"/>
          <c:cat>
            <c:strRef>
              <c:f>Dashboard!$A$15:$A$20</c:f>
              <c:strCache>
                <c:ptCount val="6"/>
                <c:pt idx="0">
                  <c:v>24K</c:v>
                </c:pt>
                <c:pt idx="1">
                  <c:v>22K</c:v>
                </c:pt>
                <c:pt idx="2">
                  <c:v>18K</c:v>
                </c:pt>
                <c:pt idx="3">
                  <c:v>14K</c:v>
                </c:pt>
                <c:pt idx="4">
                  <c:v>10K</c:v>
                </c:pt>
                <c:pt idx="5">
                  <c:v>Custom</c:v>
                </c:pt>
              </c:strCache>
            </c:strRef>
          </c:cat>
          <c:val>
            <c:numRef>
              <c:f>Dashboard!$E$15:$E$20</c:f>
              <c:numCache>
                <c:formatCode>\$#,##0.00;[Red]\(\$#,##0.00\);\-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5070.6465936309414</c:v>
                </c:pt>
                <c:pt idx="3">
                  <c:v>4301.4298642339281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1-4294-95B3-0A5866F17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G12" sqref="G12"/>
    </sheetView>
  </sheetViews>
  <sheetFormatPr defaultRowHeight="14.4"/>
  <cols>
    <col min="1" max="1" width="24" customWidth="1"/>
    <col min="2" max="2" width="20" customWidth="1"/>
    <col min="3" max="3" width="18" customWidth="1"/>
    <col min="4" max="6" width="22" customWidth="1"/>
    <col min="7" max="8" width="14" customWidth="1"/>
  </cols>
  <sheetData>
    <row r="1" spans="1:26" ht="26.2" customHeight="1">
      <c r="A1" s="77" t="s">
        <v>0</v>
      </c>
      <c r="B1" s="77"/>
      <c r="C1" s="77"/>
      <c r="D1" s="77"/>
      <c r="E1" s="77"/>
      <c r="F1" s="77"/>
      <c r="G1" s="77"/>
      <c r="H1" s="7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05">
      <c r="A2" s="78" t="s">
        <v>1</v>
      </c>
      <c r="B2" s="78"/>
      <c r="C2" s="78"/>
      <c r="D2" s="78"/>
      <c r="E2" s="78"/>
      <c r="F2" s="78"/>
      <c r="G2" s="78"/>
      <c r="H2" s="7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0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05">
      <c r="A4" s="2" t="s">
        <v>2</v>
      </c>
      <c r="B4" s="3" t="s">
        <v>3</v>
      </c>
      <c r="C4" s="1"/>
      <c r="D4" s="79" t="s">
        <v>4</v>
      </c>
      <c r="E4" s="79"/>
      <c r="F4" s="79"/>
      <c r="G4" s="79"/>
      <c r="H4" s="7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05">
      <c r="A5" s="4" t="s">
        <v>5</v>
      </c>
      <c r="B5" s="5">
        <f>'Purity &amp; Rates'!B4</f>
        <v>3434.37</v>
      </c>
      <c r="C5" s="1"/>
      <c r="D5" s="2" t="s">
        <v>6</v>
      </c>
      <c r="E5" s="3" t="s">
        <v>7</v>
      </c>
      <c r="F5" s="3" t="s">
        <v>137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05">
      <c r="A6" s="4" t="s">
        <v>8</v>
      </c>
      <c r="B6" s="6">
        <f>'Purity &amp; Rates'!B5</f>
        <v>0.9</v>
      </c>
      <c r="C6" s="1"/>
      <c r="D6" s="4" t="s">
        <v>9</v>
      </c>
      <c r="E6" s="5">
        <f>SUM('Item Calculator'!J5:J104)</f>
        <v>9372.0764578648686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05">
      <c r="A7" s="4" t="s">
        <v>10</v>
      </c>
      <c r="B7" s="6">
        <f>'Purity &amp; Rates'!B6</f>
        <v>0.75</v>
      </c>
      <c r="C7" s="1"/>
      <c r="D7" s="4" t="s">
        <v>11</v>
      </c>
      <c r="E7" s="5">
        <f>SUM('Item Calculator'!K5:K104)</f>
        <v>8434.8688120783827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05">
      <c r="A8" s="4" t="s">
        <v>12</v>
      </c>
      <c r="B8" s="7">
        <f>COUNTIF('Item Calculator'!B5:B104,"&lt;&gt;")</f>
        <v>10</v>
      </c>
      <c r="C8" s="1"/>
      <c r="D8" s="4" t="s">
        <v>13</v>
      </c>
      <c r="E8" s="5">
        <f>SUM('Item Calculator'!L5:L104)</f>
        <v>7029.0573433986528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05">
      <c r="A9" s="4" t="s">
        <v>14</v>
      </c>
      <c r="B9" s="8">
        <f>SUM('Item Calculator'!D5:D104)</f>
        <v>141.55000000000001</v>
      </c>
      <c r="C9" s="1"/>
      <c r="D9" s="4" t="s">
        <v>15</v>
      </c>
      <c r="E9" s="5">
        <f>E6-B11</f>
        <v>9372.0764578648686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05">
      <c r="A10" s="4" t="s">
        <v>16</v>
      </c>
      <c r="B10" s="8">
        <f>SUM('Item Calculator'!I5:I104)</f>
        <v>84.878559999999993</v>
      </c>
      <c r="C10" s="1"/>
      <c r="D10" s="9" t="s">
        <v>17</v>
      </c>
      <c r="E10" s="10">
        <f>E7-B11</f>
        <v>8434.8688120783827</v>
      </c>
      <c r="F10" s="10">
        <f>E10 * 0.75</f>
        <v>6326.1516090587866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05">
      <c r="A11" s="9" t="s">
        <v>18</v>
      </c>
      <c r="B11" s="10">
        <f>SUM('Item Calculator'!M5:M104)</f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0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0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05">
      <c r="A14" s="11" t="s">
        <v>19</v>
      </c>
      <c r="B14" s="12" t="s">
        <v>20</v>
      </c>
      <c r="C14" s="12" t="s">
        <v>21</v>
      </c>
      <c r="D14" s="12" t="s">
        <v>22</v>
      </c>
      <c r="E14" s="12" t="s">
        <v>23</v>
      </c>
      <c r="F14" s="13" t="s">
        <v>24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05">
      <c r="A15" s="14" t="s">
        <v>25</v>
      </c>
      <c r="B15" s="15">
        <f>COUNTIF('Item Calculator'!$C$5:$C$104,A15)</f>
        <v>0</v>
      </c>
      <c r="C15" s="16">
        <f>SUMIF('Item Calculator'!$C$5:$C$104,A15,'Item Calculator'!$F$5:$F$104)</f>
        <v>0</v>
      </c>
      <c r="D15" s="16">
        <f>SUMIF('Item Calculator'!$C$5:$C$104,A15,'Item Calculator'!$I$5:$I$104)</f>
        <v>0</v>
      </c>
      <c r="E15" s="17">
        <f>SUMIF('Item Calculator'!$C$5:$C$104,A15,'Item Calculator'!$J$5:$J$104)</f>
        <v>0</v>
      </c>
      <c r="F15" s="18">
        <f>SUMIF('Item Calculator'!$C$5:$C$104,A15,'Item Calculator'!$K$5:$K$104)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05">
      <c r="A16" s="14" t="s">
        <v>26</v>
      </c>
      <c r="B16" s="15">
        <f>COUNTIF('Item Calculator'!$C$5:$C$104,A16)</f>
        <v>0</v>
      </c>
      <c r="C16" s="16">
        <f>SUMIF('Item Calculator'!$C$5:$C$104,A16,'Item Calculator'!$F$5:$F$104)</f>
        <v>0</v>
      </c>
      <c r="D16" s="16">
        <f>SUMIF('Item Calculator'!$C$5:$C$104,A16,'Item Calculator'!$I$5:$I$104)</f>
        <v>0</v>
      </c>
      <c r="E16" s="17">
        <f>SUMIF('Item Calculator'!$C$5:$C$104,A16,'Item Calculator'!$J$5:$J$104)</f>
        <v>0</v>
      </c>
      <c r="F16" s="18">
        <f>SUMIF('Item Calculator'!$C$5:$C$104,A16,'Item Calculator'!$K$5:$K$104)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05">
      <c r="A17" s="14" t="s">
        <v>27</v>
      </c>
      <c r="B17" s="15">
        <f>COUNTIF('Item Calculator'!$C$5:$C$104,A17)</f>
        <v>3</v>
      </c>
      <c r="C17" s="16">
        <f>SUMIF('Item Calculator'!$C$5:$C$104,A17,'Item Calculator'!$F$5:$F$104)</f>
        <v>61.230000000000004</v>
      </c>
      <c r="D17" s="16">
        <f>SUMIF('Item Calculator'!$C$5:$C$104,A17,'Item Calculator'!$I$5:$I$104)</f>
        <v>45.922499999999999</v>
      </c>
      <c r="E17" s="17">
        <f>SUMIF('Item Calculator'!$C$5:$C$104,A17,'Item Calculator'!$J$5:$J$104)</f>
        <v>5070.6465936309414</v>
      </c>
      <c r="F17" s="18">
        <f>SUMIF('Item Calculator'!$C$5:$C$104,A17,'Item Calculator'!$K$5:$K$104)</f>
        <v>4563.5819342678478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05">
      <c r="A18" s="14" t="s">
        <v>28</v>
      </c>
      <c r="B18" s="15">
        <f>COUNTIF('Item Calculator'!$C$5:$C$104,A18)</f>
        <v>7</v>
      </c>
      <c r="C18" s="16">
        <f>SUMIF('Item Calculator'!$C$5:$C$104,A18,'Item Calculator'!$F$5:$F$104)</f>
        <v>66.819999999999993</v>
      </c>
      <c r="D18" s="16">
        <f>SUMIF('Item Calculator'!$C$5:$C$104,A18,'Item Calculator'!$I$5:$I$104)</f>
        <v>38.956060000000001</v>
      </c>
      <c r="E18" s="17">
        <f>SUMIF('Item Calculator'!$C$5:$C$104,A18,'Item Calculator'!$J$5:$J$104)</f>
        <v>4301.4298642339281</v>
      </c>
      <c r="F18" s="18">
        <f>SUMIF('Item Calculator'!$C$5:$C$104,A18,'Item Calculator'!$K$5:$K$104)</f>
        <v>3871.2868778105358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05">
      <c r="A19" s="14" t="s">
        <v>29</v>
      </c>
      <c r="B19" s="15">
        <f>COUNTIF('Item Calculator'!$C$5:$C$104,A19)</f>
        <v>0</v>
      </c>
      <c r="C19" s="16">
        <f>SUMIF('Item Calculator'!$C$5:$C$104,A19,'Item Calculator'!$F$5:$F$104)</f>
        <v>0</v>
      </c>
      <c r="D19" s="16">
        <f>SUMIF('Item Calculator'!$C$5:$C$104,A19,'Item Calculator'!$I$5:$I$104)</f>
        <v>0</v>
      </c>
      <c r="E19" s="17">
        <f>SUMIF('Item Calculator'!$C$5:$C$104,A19,'Item Calculator'!$J$5:$J$104)</f>
        <v>0</v>
      </c>
      <c r="F19" s="18">
        <f>SUMIF('Item Calculator'!$C$5:$C$104,A19,'Item Calculator'!$K$5:$K$104)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05">
      <c r="A20" s="19" t="s">
        <v>30</v>
      </c>
      <c r="B20" s="20">
        <f>COUNTIF('Item Calculator'!$C$5:$C$104,A20)</f>
        <v>0</v>
      </c>
      <c r="C20" s="21">
        <f>SUMIF('Item Calculator'!$C$5:$C$104,A20,'Item Calculator'!$F$5:$F$104)</f>
        <v>0</v>
      </c>
      <c r="D20" s="21">
        <f>SUMIF('Item Calculator'!$C$5:$C$104,A20,'Item Calculator'!$I$5:$I$104)</f>
        <v>0</v>
      </c>
      <c r="E20" s="22">
        <f>SUMIF('Item Calculator'!$C$5:$C$104,A20,'Item Calculator'!$J$5:$J$104)</f>
        <v>0</v>
      </c>
      <c r="F20" s="23">
        <f>SUMIF('Item Calculator'!$C$5:$C$104,A20,'Item Calculator'!$K$5:$K$104)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0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0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05">
      <c r="A23" s="80" t="s">
        <v>31</v>
      </c>
      <c r="B23" s="81"/>
      <c r="C23" s="81"/>
      <c r="D23" s="81"/>
      <c r="E23" s="81"/>
      <c r="F23" s="81"/>
      <c r="G23" s="81"/>
      <c r="H23" s="8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05">
      <c r="A24" s="24" t="s">
        <v>32</v>
      </c>
      <c r="B24" s="83" t="s">
        <v>33</v>
      </c>
      <c r="C24" s="83"/>
      <c r="D24" s="83"/>
      <c r="E24" s="83"/>
      <c r="F24" s="83"/>
      <c r="G24" s="83"/>
      <c r="H24" s="8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05">
      <c r="A25" s="24" t="s">
        <v>34</v>
      </c>
      <c r="B25" s="83" t="s">
        <v>35</v>
      </c>
      <c r="C25" s="83"/>
      <c r="D25" s="83"/>
      <c r="E25" s="83"/>
      <c r="F25" s="83"/>
      <c r="G25" s="83"/>
      <c r="H25" s="8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05">
      <c r="A26" s="24" t="s">
        <v>36</v>
      </c>
      <c r="B26" s="83" t="s">
        <v>37</v>
      </c>
      <c r="C26" s="83"/>
      <c r="D26" s="83"/>
      <c r="E26" s="83"/>
      <c r="F26" s="83"/>
      <c r="G26" s="83"/>
      <c r="H26" s="8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05">
      <c r="A27" s="24" t="s">
        <v>38</v>
      </c>
      <c r="B27" s="83" t="s">
        <v>39</v>
      </c>
      <c r="C27" s="83"/>
      <c r="D27" s="83"/>
      <c r="E27" s="83"/>
      <c r="F27" s="83"/>
      <c r="G27" s="83"/>
      <c r="H27" s="8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05">
      <c r="A28" s="24" t="s">
        <v>40</v>
      </c>
      <c r="B28" s="83" t="s">
        <v>41</v>
      </c>
      <c r="C28" s="83"/>
      <c r="D28" s="83"/>
      <c r="E28" s="83"/>
      <c r="F28" s="83"/>
      <c r="G28" s="83"/>
      <c r="H28" s="8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05">
      <c r="A29" s="26" t="s">
        <v>42</v>
      </c>
      <c r="B29" s="85" t="s">
        <v>43</v>
      </c>
      <c r="C29" s="85"/>
      <c r="D29" s="85"/>
      <c r="E29" s="85"/>
      <c r="F29" s="85"/>
      <c r="G29" s="85"/>
      <c r="H29" s="8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0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0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0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0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0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0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0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0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0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0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0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0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0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0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0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0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0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0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0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0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0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0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0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0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0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0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0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0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0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0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0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0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0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0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0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0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0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0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0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0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0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0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0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0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0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0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0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0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0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0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0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0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0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0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0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0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0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0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0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0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0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0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0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0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0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0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0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0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0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0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0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0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0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0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0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0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0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0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0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0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0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0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0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0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0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0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0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0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0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0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0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0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0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0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0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0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0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0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0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0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0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0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0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0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0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0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0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0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0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0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0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0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0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0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0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0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0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0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0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0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0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0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0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0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0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0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0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0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0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0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0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0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0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0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0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0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0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0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0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0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0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0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0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0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0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0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0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0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0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0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0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0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0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0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0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0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0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0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0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0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0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0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0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0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0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0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0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0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0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0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0">
    <mergeCell ref="B25:H25"/>
    <mergeCell ref="B26:H26"/>
    <mergeCell ref="B27:H27"/>
    <mergeCell ref="B28:H28"/>
    <mergeCell ref="B29:H29"/>
    <mergeCell ref="A1:H1"/>
    <mergeCell ref="A2:H2"/>
    <mergeCell ref="D4:H4"/>
    <mergeCell ref="A23:H23"/>
    <mergeCell ref="B24:H24"/>
  </mergeCells>
  <conditionalFormatting sqref="E9:E10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F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B15" sqref="B15"/>
    </sheetView>
  </sheetViews>
  <sheetFormatPr defaultRowHeight="14.4"/>
  <cols>
    <col min="1" max="1" width="8" customWidth="1"/>
    <col min="2" max="2" width="24" customWidth="1"/>
    <col min="3" max="3" width="10" customWidth="1"/>
    <col min="4" max="4" width="15" customWidth="1"/>
    <col min="5" max="5" width="18" customWidth="1"/>
    <col min="6" max="7" width="16" customWidth="1"/>
    <col min="8" max="8" width="15" customWidth="1"/>
    <col min="9" max="9" width="14" customWidth="1"/>
    <col min="10" max="10" width="15" customWidth="1"/>
    <col min="11" max="11" width="17" customWidth="1"/>
    <col min="12" max="12" width="16" customWidth="1"/>
    <col min="13" max="13" width="15" customWidth="1"/>
    <col min="14" max="14" width="18" customWidth="1"/>
    <col min="15" max="15" width="12" customWidth="1"/>
    <col min="16" max="16" width="20" customWidth="1"/>
    <col min="17" max="17" width="28" customWidth="1"/>
    <col min="18" max="18" width="18" customWidth="1"/>
  </cols>
  <sheetData>
    <row r="1" spans="1:26" ht="24.4" customHeight="1">
      <c r="A1" s="87" t="s">
        <v>44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1"/>
      <c r="T1" s="1"/>
      <c r="U1" s="1"/>
      <c r="V1" s="1"/>
      <c r="W1" s="1"/>
      <c r="X1" s="1"/>
      <c r="Y1" s="1"/>
      <c r="Z1" s="1"/>
    </row>
    <row r="2" spans="1:26" ht="15.05">
      <c r="A2" s="88" t="s">
        <v>45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1"/>
      <c r="T2" s="1"/>
      <c r="U2" s="1"/>
      <c r="V2" s="1"/>
      <c r="W2" s="1"/>
      <c r="X2" s="1"/>
      <c r="Y2" s="1"/>
      <c r="Z2" s="1"/>
    </row>
    <row r="3" spans="1:26" ht="15.0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.65" customHeight="1">
      <c r="A4" s="27" t="s">
        <v>46</v>
      </c>
      <c r="B4" s="27" t="s">
        <v>47</v>
      </c>
      <c r="C4" s="27" t="s">
        <v>48</v>
      </c>
      <c r="D4" s="27" t="s">
        <v>14</v>
      </c>
      <c r="E4" s="27" t="s">
        <v>49</v>
      </c>
      <c r="F4" s="27" t="s">
        <v>21</v>
      </c>
      <c r="G4" s="27" t="s">
        <v>50</v>
      </c>
      <c r="H4" s="27" t="s">
        <v>51</v>
      </c>
      <c r="I4" s="27" t="s">
        <v>22</v>
      </c>
      <c r="J4" s="27" t="s">
        <v>23</v>
      </c>
      <c r="K4" s="27" t="s">
        <v>52</v>
      </c>
      <c r="L4" s="27" t="s">
        <v>53</v>
      </c>
      <c r="M4" s="27" t="s">
        <v>54</v>
      </c>
      <c r="N4" s="27" t="s">
        <v>55</v>
      </c>
      <c r="O4" s="27" t="s">
        <v>56</v>
      </c>
      <c r="P4" s="27" t="s">
        <v>57</v>
      </c>
      <c r="Q4" s="27" t="s">
        <v>58</v>
      </c>
      <c r="R4" s="27" t="s">
        <v>59</v>
      </c>
      <c r="S4" s="1"/>
      <c r="T4" s="1"/>
      <c r="U4" s="1"/>
      <c r="V4" s="1"/>
      <c r="W4" s="1"/>
      <c r="X4" s="1"/>
      <c r="Y4" s="1"/>
      <c r="Z4" s="1"/>
    </row>
    <row r="5" spans="1:26" ht="15.05">
      <c r="A5" s="28">
        <f t="shared" ref="A5:A36" si="0">ROW()-4</f>
        <v>1</v>
      </c>
      <c r="B5" s="29" t="s">
        <v>127</v>
      </c>
      <c r="C5" s="30" t="s">
        <v>27</v>
      </c>
      <c r="D5" s="31">
        <v>27.22</v>
      </c>
      <c r="E5" s="31"/>
      <c r="F5" s="32">
        <f t="shared" ref="F5:F36" si="1">IF(D5="","",MAX(D5-IF(E5="",0,E5),0))</f>
        <v>27.22</v>
      </c>
      <c r="G5" s="33"/>
      <c r="H5" s="34">
        <f>IF(G5&lt;&gt;"",G5,IFERROR(VLOOKUP(C5,'Purity &amp; Rates'!$A$11:$B$16,2,FALSE),""))</f>
        <v>0.75</v>
      </c>
      <c r="I5" s="32">
        <f t="shared" ref="I5:I36" si="2">IF(OR(F5="",H5=""),"",F5*H5)</f>
        <v>20.414999999999999</v>
      </c>
      <c r="J5" s="35">
        <f>IF(I5="","",I5*'Purity &amp; Rates'!$B$4/'Purity &amp; Rates'!$B$7)</f>
        <v>2254.1727956660825</v>
      </c>
      <c r="K5" s="35">
        <f>IF(J5="","",J5*'Purity &amp; Rates'!$B$5)</f>
        <v>2028.7555160994743</v>
      </c>
      <c r="L5" s="35">
        <f>IF(J5="","",J5*'Purity &amp; Rates'!$B$6)</f>
        <v>1690.6295967495619</v>
      </c>
      <c r="M5" s="36"/>
      <c r="N5" s="35" t="str">
        <f t="shared" ref="N5:N36" si="3">IF(OR(J5="",M5=""),"",J5-M5)</f>
        <v/>
      </c>
      <c r="O5" s="34" t="str">
        <f t="shared" ref="O5:O36" si="4">IF(OR(N5="",M5=0),"",N5/M5)</f>
        <v/>
      </c>
      <c r="P5" s="35" t="str">
        <f t="shared" ref="P5:P36" si="5">IF(OR(K5="",M5=""),"",K5-M5)</f>
        <v/>
      </c>
      <c r="Q5" s="37"/>
      <c r="R5" s="38"/>
      <c r="S5" s="1"/>
      <c r="T5" s="1"/>
      <c r="U5" s="1"/>
      <c r="V5" s="1"/>
      <c r="W5" s="1"/>
      <c r="X5" s="1"/>
      <c r="Y5" s="1"/>
      <c r="Z5" s="1"/>
    </row>
    <row r="6" spans="1:26" ht="15.05">
      <c r="A6" s="28">
        <f t="shared" si="0"/>
        <v>2</v>
      </c>
      <c r="B6" s="29" t="s">
        <v>128</v>
      </c>
      <c r="C6" s="40" t="s">
        <v>28</v>
      </c>
      <c r="D6" s="41">
        <v>21.59</v>
      </c>
      <c r="E6" s="41"/>
      <c r="F6" s="42">
        <f t="shared" si="1"/>
        <v>21.59</v>
      </c>
      <c r="G6" s="43"/>
      <c r="H6" s="44">
        <f>IF(G6&lt;&gt;"",G6,IFERROR(VLOOKUP(C6,'Purity &amp; Rates'!$A$11:$B$16,2,FALSE),""))</f>
        <v>0.58299999999999996</v>
      </c>
      <c r="I6" s="42">
        <f t="shared" si="2"/>
        <v>12.586969999999999</v>
      </c>
      <c r="J6" s="45">
        <f>IF(I6="","",I6*'Purity &amp; Rates'!$B$4/'Purity &amp; Rates'!$B$7)</f>
        <v>1389.8214721462211</v>
      </c>
      <c r="K6" s="45">
        <f>IF(J6="","",J6*'Purity &amp; Rates'!$B$5)</f>
        <v>1250.8393249315991</v>
      </c>
      <c r="L6" s="45">
        <f>IF(J6="","",J6*'Purity &amp; Rates'!$B$6)</f>
        <v>1042.3661041096659</v>
      </c>
      <c r="M6" s="46"/>
      <c r="N6" s="45" t="str">
        <f t="shared" si="3"/>
        <v/>
      </c>
      <c r="O6" s="44" t="str">
        <f t="shared" si="4"/>
        <v/>
      </c>
      <c r="P6" s="45" t="str">
        <f t="shared" si="5"/>
        <v/>
      </c>
      <c r="Q6" s="47"/>
      <c r="R6" s="48"/>
      <c r="S6" s="1"/>
      <c r="T6" s="1"/>
      <c r="U6" s="1"/>
      <c r="V6" s="1"/>
      <c r="W6" s="1"/>
      <c r="X6" s="1"/>
      <c r="Y6" s="1"/>
      <c r="Z6" s="1"/>
    </row>
    <row r="7" spans="1:26" ht="15.05">
      <c r="A7" s="28">
        <f t="shared" si="0"/>
        <v>3</v>
      </c>
      <c r="B7" s="29" t="s">
        <v>129</v>
      </c>
      <c r="C7" s="40" t="s">
        <v>27</v>
      </c>
      <c r="D7" s="41">
        <v>16.48</v>
      </c>
      <c r="E7" s="41"/>
      <c r="F7" s="42">
        <f t="shared" si="1"/>
        <v>16.48</v>
      </c>
      <c r="G7" s="43"/>
      <c r="H7" s="44">
        <f>IF(G7&lt;&gt;"",G7,IFERROR(VLOOKUP(C7,'Purity &amp; Rates'!$A$11:$B$16,2,FALSE),""))</f>
        <v>0.75</v>
      </c>
      <c r="I7" s="42">
        <f t="shared" si="2"/>
        <v>12.36</v>
      </c>
      <c r="J7" s="45">
        <f>IF(I7="","",I7*'Purity &amp; Rates'!$B$4/'Purity &amp; Rates'!$B$7)</f>
        <v>1364.7600173613901</v>
      </c>
      <c r="K7" s="45">
        <f>IF(J7="","",J7*'Purity &amp; Rates'!$B$5)</f>
        <v>1228.2840156252512</v>
      </c>
      <c r="L7" s="45">
        <f>IF(J7="","",J7*'Purity &amp; Rates'!$B$6)</f>
        <v>1023.5700130210425</v>
      </c>
      <c r="M7" s="46"/>
      <c r="N7" s="45" t="str">
        <f t="shared" si="3"/>
        <v/>
      </c>
      <c r="O7" s="44" t="str">
        <f t="shared" si="4"/>
        <v/>
      </c>
      <c r="P7" s="45" t="str">
        <f t="shared" si="5"/>
        <v/>
      </c>
      <c r="Q7" s="47"/>
      <c r="R7" s="48"/>
      <c r="S7" s="1"/>
      <c r="T7" s="1"/>
      <c r="U7" s="1"/>
      <c r="V7" s="1"/>
      <c r="W7" s="1"/>
      <c r="X7" s="1"/>
      <c r="Y7" s="1"/>
      <c r="Z7" s="1"/>
    </row>
    <row r="8" spans="1:26" ht="15.05">
      <c r="A8" s="28">
        <f t="shared" si="0"/>
        <v>4</v>
      </c>
      <c r="B8" s="29" t="s">
        <v>130</v>
      </c>
      <c r="C8" s="40" t="s">
        <v>28</v>
      </c>
      <c r="D8" s="41">
        <v>16.100000000000001</v>
      </c>
      <c r="E8" s="41"/>
      <c r="F8" s="42">
        <f t="shared" si="1"/>
        <v>16.100000000000001</v>
      </c>
      <c r="G8" s="43"/>
      <c r="H8" s="44">
        <f>IF(G8&lt;&gt;"",G8,IFERROR(VLOOKUP(C8,'Purity &amp; Rates'!$A$11:$B$16,2,FALSE),""))</f>
        <v>0.58299999999999996</v>
      </c>
      <c r="I8" s="42">
        <f t="shared" si="2"/>
        <v>9.3863000000000003</v>
      </c>
      <c r="J8" s="45">
        <f>IF(I8="","",I8*'Purity &amp; Rates'!$B$4/'Purity &amp; Rates'!$B$7)</f>
        <v>1036.4115656115871</v>
      </c>
      <c r="K8" s="45">
        <f>IF(J8="","",J8*'Purity &amp; Rates'!$B$5)</f>
        <v>932.77040905042838</v>
      </c>
      <c r="L8" s="45">
        <f>IF(J8="","",J8*'Purity &amp; Rates'!$B$6)</f>
        <v>777.30867420869026</v>
      </c>
      <c r="M8" s="46"/>
      <c r="N8" s="45" t="str">
        <f t="shared" si="3"/>
        <v/>
      </c>
      <c r="O8" s="44" t="str">
        <f t="shared" si="4"/>
        <v/>
      </c>
      <c r="P8" s="45" t="str">
        <f t="shared" si="5"/>
        <v/>
      </c>
      <c r="Q8" s="47"/>
      <c r="R8" s="48"/>
      <c r="S8" s="1"/>
      <c r="T8" s="1"/>
      <c r="U8" s="1"/>
      <c r="V8" s="1"/>
      <c r="W8" s="1"/>
      <c r="X8" s="1"/>
      <c r="Y8" s="1"/>
      <c r="Z8" s="1"/>
    </row>
    <row r="9" spans="1:26" ht="15.05">
      <c r="A9" s="28">
        <f t="shared" si="0"/>
        <v>5</v>
      </c>
      <c r="B9" s="29" t="s">
        <v>131</v>
      </c>
      <c r="C9" s="40" t="s">
        <v>27</v>
      </c>
      <c r="D9" s="41">
        <v>17.53</v>
      </c>
      <c r="E9" s="41"/>
      <c r="F9" s="42">
        <f t="shared" si="1"/>
        <v>17.53</v>
      </c>
      <c r="G9" s="43"/>
      <c r="H9" s="44">
        <f>IF(G9&lt;&gt;"",G9,IFERROR(VLOOKUP(C9,'Purity &amp; Rates'!$A$11:$B$16,2,FALSE),""))</f>
        <v>0.75</v>
      </c>
      <c r="I9" s="42">
        <f t="shared" si="2"/>
        <v>13.147500000000001</v>
      </c>
      <c r="J9" s="45">
        <f>IF(I9="","",I9*'Purity &amp; Rates'!$B$4/'Purity &amp; Rates'!$B$7)</f>
        <v>1451.7137806034691</v>
      </c>
      <c r="K9" s="45">
        <f>IF(J9="","",J9*'Purity &amp; Rates'!$B$5)</f>
        <v>1306.5424025431223</v>
      </c>
      <c r="L9" s="45">
        <f>IF(J9="","",J9*'Purity &amp; Rates'!$B$6)</f>
        <v>1088.7853354526019</v>
      </c>
      <c r="M9" s="46"/>
      <c r="N9" s="45" t="str">
        <f t="shared" si="3"/>
        <v/>
      </c>
      <c r="O9" s="44" t="str">
        <f t="shared" si="4"/>
        <v/>
      </c>
      <c r="P9" s="45" t="str">
        <f t="shared" si="5"/>
        <v/>
      </c>
      <c r="Q9" s="47"/>
      <c r="R9" s="48"/>
      <c r="S9" s="1"/>
      <c r="T9" s="1"/>
      <c r="U9" s="1"/>
      <c r="V9" s="1"/>
      <c r="W9" s="1"/>
      <c r="X9" s="1"/>
      <c r="Y9" s="1"/>
      <c r="Z9" s="1"/>
    </row>
    <row r="10" spans="1:26" ht="15.05">
      <c r="A10" s="28">
        <f t="shared" si="0"/>
        <v>6</v>
      </c>
      <c r="B10" s="39" t="s">
        <v>132</v>
      </c>
      <c r="C10" s="40" t="s">
        <v>28</v>
      </c>
      <c r="D10" s="41">
        <v>8.3000000000000007</v>
      </c>
      <c r="E10" s="41"/>
      <c r="F10" s="42">
        <f t="shared" si="1"/>
        <v>8.3000000000000007</v>
      </c>
      <c r="G10" s="43"/>
      <c r="H10" s="44">
        <f>IF(G10&lt;&gt;"",G10,IFERROR(VLOOKUP(C10,'Purity &amp; Rates'!$A$11:$B$16,2,FALSE),""))</f>
        <v>0.58299999999999996</v>
      </c>
      <c r="I10" s="42">
        <f t="shared" si="2"/>
        <v>4.8388999999999998</v>
      </c>
      <c r="J10" s="45">
        <f>IF(I10="","",I10*'Purity &amp; Rates'!$B$4/'Purity &amp; Rates'!$B$7)</f>
        <v>534.29913009789891</v>
      </c>
      <c r="K10" s="45">
        <f>IF(J10="","",J10*'Purity &amp; Rates'!$B$5)</f>
        <v>480.86921708810905</v>
      </c>
      <c r="L10" s="45">
        <f>IF(J10="","",J10*'Purity &amp; Rates'!$B$6)</f>
        <v>400.72434757342421</v>
      </c>
      <c r="M10" s="46"/>
      <c r="N10" s="45" t="str">
        <f t="shared" si="3"/>
        <v/>
      </c>
      <c r="O10" s="44" t="str">
        <f t="shared" si="4"/>
        <v/>
      </c>
      <c r="P10" s="45" t="str">
        <f t="shared" si="5"/>
        <v/>
      </c>
      <c r="Q10" s="47"/>
      <c r="R10" s="48"/>
      <c r="S10" s="1"/>
      <c r="T10" s="1"/>
      <c r="U10" s="1"/>
      <c r="V10" s="1"/>
      <c r="W10" s="1"/>
      <c r="X10" s="1"/>
      <c r="Y10" s="1"/>
      <c r="Z10" s="1"/>
    </row>
    <row r="11" spans="1:26" ht="15.05">
      <c r="A11" s="28">
        <f t="shared" si="0"/>
        <v>7</v>
      </c>
      <c r="B11" s="39" t="s">
        <v>133</v>
      </c>
      <c r="C11" s="40" t="s">
        <v>28</v>
      </c>
      <c r="D11" s="41">
        <v>11.26</v>
      </c>
      <c r="E11" s="41">
        <v>3.5</v>
      </c>
      <c r="F11" s="42">
        <f t="shared" si="1"/>
        <v>7.76</v>
      </c>
      <c r="G11" s="43"/>
      <c r="H11" s="44">
        <f>IF(G11&lt;&gt;"",G11,IFERROR(VLOOKUP(C11,'Purity &amp; Rates'!$A$11:$B$16,2,FALSE),""))</f>
        <v>0.58299999999999996</v>
      </c>
      <c r="I11" s="42">
        <f t="shared" si="2"/>
        <v>4.5240799999999997</v>
      </c>
      <c r="J11" s="45">
        <f>IF(I11="","",I11*'Purity &amp; Rates'!$B$4/'Purity &amp; Rates'!$B$7)</f>
        <v>499.53749994695124</v>
      </c>
      <c r="K11" s="45">
        <f>IF(J11="","",J11*'Purity &amp; Rates'!$B$5)</f>
        <v>449.58374995225614</v>
      </c>
      <c r="L11" s="45">
        <f>IF(J11="","",J11*'Purity &amp; Rates'!$B$6)</f>
        <v>374.6531249602134</v>
      </c>
      <c r="M11" s="46"/>
      <c r="N11" s="45" t="str">
        <f t="shared" si="3"/>
        <v/>
      </c>
      <c r="O11" s="44" t="str">
        <f t="shared" si="4"/>
        <v/>
      </c>
      <c r="P11" s="45" t="str">
        <f t="shared" si="5"/>
        <v/>
      </c>
      <c r="Q11" s="47"/>
      <c r="R11" s="48"/>
      <c r="S11" s="1"/>
      <c r="T11" s="1"/>
      <c r="U11" s="1"/>
      <c r="V11" s="1"/>
      <c r="W11" s="1"/>
      <c r="X11" s="1"/>
      <c r="Y11" s="1"/>
      <c r="Z11" s="1"/>
    </row>
    <row r="12" spans="1:26" ht="15.05">
      <c r="A12" s="28">
        <f t="shared" si="0"/>
        <v>8</v>
      </c>
      <c r="B12" s="39" t="s">
        <v>134</v>
      </c>
      <c r="C12" s="40" t="s">
        <v>28</v>
      </c>
      <c r="D12" s="41">
        <v>3.77</v>
      </c>
      <c r="E12" s="41">
        <v>1.5</v>
      </c>
      <c r="F12" s="42">
        <f t="shared" si="1"/>
        <v>2.27</v>
      </c>
      <c r="G12" s="43"/>
      <c r="H12" s="44">
        <f>IF(G12&lt;&gt;"",G12,IFERROR(VLOOKUP(C12,'Purity &amp; Rates'!$A$11:$B$16,2,FALSE),""))</f>
        <v>0.58299999999999996</v>
      </c>
      <c r="I12" s="42">
        <f t="shared" si="2"/>
        <v>1.32341</v>
      </c>
      <c r="J12" s="45">
        <f>IF(I12="","",I12*'Purity &amp; Rates'!$B$4/'Purity &amp; Rates'!$B$7)</f>
        <v>146.12759341231691</v>
      </c>
      <c r="K12" s="45">
        <f>IF(J12="","",J12*'Purity &amp; Rates'!$B$5)</f>
        <v>131.51483407108523</v>
      </c>
      <c r="L12" s="45">
        <f>IF(J12="","",J12*'Purity &amp; Rates'!$B$6)</f>
        <v>109.59569505923768</v>
      </c>
      <c r="M12" s="46"/>
      <c r="N12" s="45" t="str">
        <f t="shared" si="3"/>
        <v/>
      </c>
      <c r="O12" s="44" t="str">
        <f t="shared" si="4"/>
        <v/>
      </c>
      <c r="P12" s="45" t="str">
        <f t="shared" si="5"/>
        <v/>
      </c>
      <c r="Q12" s="47"/>
      <c r="R12" s="48"/>
      <c r="S12" s="1"/>
      <c r="T12" s="1"/>
      <c r="U12" s="1"/>
      <c r="V12" s="1"/>
      <c r="W12" s="1"/>
      <c r="X12" s="1"/>
      <c r="Y12" s="1"/>
      <c r="Z12" s="1"/>
    </row>
    <row r="13" spans="1:26" ht="15.05">
      <c r="A13" s="28">
        <f t="shared" si="0"/>
        <v>9</v>
      </c>
      <c r="B13" s="39" t="s">
        <v>135</v>
      </c>
      <c r="C13" s="40" t="s">
        <v>28</v>
      </c>
      <c r="D13" s="41">
        <v>9.3000000000000007</v>
      </c>
      <c r="E13" s="41">
        <v>4</v>
      </c>
      <c r="F13" s="42">
        <f t="shared" si="1"/>
        <v>5.3000000000000007</v>
      </c>
      <c r="G13" s="43"/>
      <c r="H13" s="44">
        <f>IF(G13&lt;&gt;"",G13,IFERROR(VLOOKUP(C13,'Purity &amp; Rates'!$A$11:$B$16,2,FALSE),""))</f>
        <v>0.58299999999999996</v>
      </c>
      <c r="I13" s="42">
        <f t="shared" si="2"/>
        <v>3.0899000000000001</v>
      </c>
      <c r="J13" s="45">
        <f>IF(I13="","",I13*'Purity &amp; Rates'!$B$4/'Purity &amp; Rates'!$B$7)</f>
        <v>341.17896259263426</v>
      </c>
      <c r="K13" s="45">
        <f>IF(J13="","",J13*'Purity &amp; Rates'!$B$5)</f>
        <v>307.06106633337083</v>
      </c>
      <c r="L13" s="45">
        <f>IF(J13="","",J13*'Purity &amp; Rates'!$B$6)</f>
        <v>255.88422194447571</v>
      </c>
      <c r="M13" s="46"/>
      <c r="N13" s="45" t="str">
        <f t="shared" si="3"/>
        <v/>
      </c>
      <c r="O13" s="44" t="str">
        <f t="shared" si="4"/>
        <v/>
      </c>
      <c r="P13" s="45" t="str">
        <f t="shared" si="5"/>
        <v/>
      </c>
      <c r="Q13" s="47"/>
      <c r="R13" s="48"/>
      <c r="S13" s="1"/>
      <c r="T13" s="1"/>
      <c r="U13" s="1"/>
      <c r="V13" s="1"/>
      <c r="W13" s="1"/>
      <c r="X13" s="1"/>
      <c r="Y13" s="1"/>
      <c r="Z13" s="1"/>
    </row>
    <row r="14" spans="1:26" ht="15.05">
      <c r="A14" s="28">
        <f t="shared" si="0"/>
        <v>10</v>
      </c>
      <c r="B14" s="39" t="s">
        <v>136</v>
      </c>
      <c r="C14" s="40" t="s">
        <v>28</v>
      </c>
      <c r="D14" s="41">
        <v>10</v>
      </c>
      <c r="E14" s="41">
        <v>4.5</v>
      </c>
      <c r="F14" s="42">
        <f t="shared" si="1"/>
        <v>5.5</v>
      </c>
      <c r="G14" s="43"/>
      <c r="H14" s="44">
        <f>IF(G14&lt;&gt;"",G14,IFERROR(VLOOKUP(C14,'Purity &amp; Rates'!$A$11:$B$16,2,FALSE),""))</f>
        <v>0.58299999999999996</v>
      </c>
      <c r="I14" s="42">
        <f t="shared" si="2"/>
        <v>3.2064999999999997</v>
      </c>
      <c r="J14" s="45">
        <f>IF(I14="","",I14*'Purity &amp; Rates'!$B$4/'Purity &amp; Rates'!$B$7)</f>
        <v>354.05364042631851</v>
      </c>
      <c r="K14" s="45">
        <f>IF(J14="","",J14*'Purity &amp; Rates'!$B$5)</f>
        <v>318.64827638368666</v>
      </c>
      <c r="L14" s="45">
        <f>IF(J14="","",J14*'Purity &amp; Rates'!$B$6)</f>
        <v>265.5402303197389</v>
      </c>
      <c r="M14" s="46"/>
      <c r="N14" s="45" t="str">
        <f t="shared" si="3"/>
        <v/>
      </c>
      <c r="O14" s="44" t="str">
        <f t="shared" si="4"/>
        <v/>
      </c>
      <c r="P14" s="45" t="str">
        <f t="shared" si="5"/>
        <v/>
      </c>
      <c r="Q14" s="47"/>
      <c r="R14" s="48"/>
      <c r="S14" s="1"/>
      <c r="T14" s="1"/>
      <c r="U14" s="1"/>
      <c r="V14" s="1"/>
      <c r="W14" s="1"/>
      <c r="X14" s="1"/>
      <c r="Y14" s="1"/>
      <c r="Z14" s="1"/>
    </row>
    <row r="15" spans="1:26" ht="15.05">
      <c r="A15" s="28">
        <f t="shared" si="0"/>
        <v>11</v>
      </c>
      <c r="B15" s="39"/>
      <c r="C15" s="40"/>
      <c r="D15" s="41"/>
      <c r="E15" s="41"/>
      <c r="F15" s="42" t="str">
        <f t="shared" si="1"/>
        <v/>
      </c>
      <c r="G15" s="43"/>
      <c r="H15" s="44" t="str">
        <f>IF(G15&lt;&gt;"",G15,IFERROR(VLOOKUP(C15,'Purity &amp; Rates'!$A$11:$B$16,2,FALSE),""))</f>
        <v/>
      </c>
      <c r="I15" s="42" t="str">
        <f t="shared" si="2"/>
        <v/>
      </c>
      <c r="J15" s="45" t="str">
        <f>IF(I15="","",I15*'Purity &amp; Rates'!$B$4/'Purity &amp; Rates'!$B$7)</f>
        <v/>
      </c>
      <c r="K15" s="45" t="str">
        <f>IF(J15="","",J15*'Purity &amp; Rates'!$B$5)</f>
        <v/>
      </c>
      <c r="L15" s="45" t="str">
        <f>IF(J15="","",J15*'Purity &amp; Rates'!$B$6)</f>
        <v/>
      </c>
      <c r="M15" s="46"/>
      <c r="N15" s="45" t="str">
        <f t="shared" si="3"/>
        <v/>
      </c>
      <c r="O15" s="44" t="str">
        <f t="shared" si="4"/>
        <v/>
      </c>
      <c r="P15" s="45" t="str">
        <f t="shared" si="5"/>
        <v/>
      </c>
      <c r="Q15" s="47"/>
      <c r="R15" s="48"/>
      <c r="S15" s="1"/>
      <c r="T15" s="1"/>
      <c r="U15" s="1"/>
      <c r="V15" s="1"/>
      <c r="W15" s="1"/>
      <c r="X15" s="1"/>
      <c r="Y15" s="1"/>
      <c r="Z15" s="1"/>
    </row>
    <row r="16" spans="1:26" ht="15.05">
      <c r="A16" s="28">
        <f t="shared" si="0"/>
        <v>12</v>
      </c>
      <c r="B16" s="39"/>
      <c r="C16" s="40"/>
      <c r="D16" s="41"/>
      <c r="E16" s="41"/>
      <c r="F16" s="42" t="str">
        <f t="shared" si="1"/>
        <v/>
      </c>
      <c r="G16" s="43"/>
      <c r="H16" s="44" t="str">
        <f>IF(G16&lt;&gt;"",G16,IFERROR(VLOOKUP(C16,'Purity &amp; Rates'!$A$11:$B$16,2,FALSE),""))</f>
        <v/>
      </c>
      <c r="I16" s="42" t="str">
        <f t="shared" si="2"/>
        <v/>
      </c>
      <c r="J16" s="45" t="str">
        <f>IF(I16="","",I16*'Purity &amp; Rates'!$B$4/'Purity &amp; Rates'!$B$7)</f>
        <v/>
      </c>
      <c r="K16" s="45" t="str">
        <f>IF(J16="","",J16*'Purity &amp; Rates'!$B$5)</f>
        <v/>
      </c>
      <c r="L16" s="45" t="str">
        <f>IF(J16="","",J16*'Purity &amp; Rates'!$B$6)</f>
        <v/>
      </c>
      <c r="M16" s="46"/>
      <c r="N16" s="45" t="str">
        <f t="shared" si="3"/>
        <v/>
      </c>
      <c r="O16" s="44" t="str">
        <f t="shared" si="4"/>
        <v/>
      </c>
      <c r="P16" s="45" t="str">
        <f t="shared" si="5"/>
        <v/>
      </c>
      <c r="Q16" s="47"/>
      <c r="R16" s="48"/>
      <c r="S16" s="1"/>
      <c r="T16" s="1"/>
      <c r="U16" s="1"/>
      <c r="V16" s="1"/>
      <c r="W16" s="1"/>
      <c r="X16" s="1"/>
      <c r="Y16" s="1"/>
      <c r="Z16" s="1"/>
    </row>
    <row r="17" spans="1:26" ht="15.05">
      <c r="A17" s="28">
        <f t="shared" si="0"/>
        <v>13</v>
      </c>
      <c r="B17" s="39"/>
      <c r="C17" s="40"/>
      <c r="D17" s="41"/>
      <c r="E17" s="41"/>
      <c r="F17" s="42" t="str">
        <f t="shared" si="1"/>
        <v/>
      </c>
      <c r="G17" s="43"/>
      <c r="H17" s="44" t="str">
        <f>IF(G17&lt;&gt;"",G17,IFERROR(VLOOKUP(C17,'Purity &amp; Rates'!$A$11:$B$16,2,FALSE),""))</f>
        <v/>
      </c>
      <c r="I17" s="42" t="str">
        <f t="shared" si="2"/>
        <v/>
      </c>
      <c r="J17" s="45" t="str">
        <f>IF(I17="","",I17*'Purity &amp; Rates'!$B$4/'Purity &amp; Rates'!$B$7)</f>
        <v/>
      </c>
      <c r="K17" s="45" t="str">
        <f>IF(J17="","",J17*'Purity &amp; Rates'!$B$5)</f>
        <v/>
      </c>
      <c r="L17" s="45" t="str">
        <f>IF(J17="","",J17*'Purity &amp; Rates'!$B$6)</f>
        <v/>
      </c>
      <c r="M17" s="46"/>
      <c r="N17" s="45" t="str">
        <f t="shared" si="3"/>
        <v/>
      </c>
      <c r="O17" s="44" t="str">
        <f t="shared" si="4"/>
        <v/>
      </c>
      <c r="P17" s="45" t="str">
        <f t="shared" si="5"/>
        <v/>
      </c>
      <c r="Q17" s="47"/>
      <c r="R17" s="48"/>
      <c r="S17" s="1"/>
      <c r="T17" s="1"/>
      <c r="U17" s="1"/>
      <c r="V17" s="1"/>
      <c r="W17" s="1"/>
      <c r="X17" s="1"/>
      <c r="Y17" s="1"/>
      <c r="Z17" s="1"/>
    </row>
    <row r="18" spans="1:26" ht="15.05">
      <c r="A18" s="28">
        <f t="shared" si="0"/>
        <v>14</v>
      </c>
      <c r="B18" s="39"/>
      <c r="C18" s="40"/>
      <c r="D18" s="41"/>
      <c r="E18" s="41"/>
      <c r="F18" s="42" t="str">
        <f t="shared" si="1"/>
        <v/>
      </c>
      <c r="G18" s="43"/>
      <c r="H18" s="44" t="str">
        <f>IF(G18&lt;&gt;"",G18,IFERROR(VLOOKUP(C18,'Purity &amp; Rates'!$A$11:$B$16,2,FALSE),""))</f>
        <v/>
      </c>
      <c r="I18" s="42" t="str">
        <f t="shared" si="2"/>
        <v/>
      </c>
      <c r="J18" s="45" t="str">
        <f>IF(I18="","",I18*'Purity &amp; Rates'!$B$4/'Purity &amp; Rates'!$B$7)</f>
        <v/>
      </c>
      <c r="K18" s="45" t="str">
        <f>IF(J18="","",J18*'Purity &amp; Rates'!$B$5)</f>
        <v/>
      </c>
      <c r="L18" s="45" t="str">
        <f>IF(J18="","",J18*'Purity &amp; Rates'!$B$6)</f>
        <v/>
      </c>
      <c r="M18" s="46"/>
      <c r="N18" s="45" t="str">
        <f t="shared" si="3"/>
        <v/>
      </c>
      <c r="O18" s="44" t="str">
        <f t="shared" si="4"/>
        <v/>
      </c>
      <c r="P18" s="45" t="str">
        <f t="shared" si="5"/>
        <v/>
      </c>
      <c r="Q18" s="47"/>
      <c r="R18" s="48"/>
      <c r="S18" s="1"/>
      <c r="T18" s="1"/>
      <c r="U18" s="1"/>
      <c r="V18" s="1"/>
      <c r="W18" s="1"/>
      <c r="X18" s="1"/>
      <c r="Y18" s="1"/>
      <c r="Z18" s="1"/>
    </row>
    <row r="19" spans="1:26" ht="15.05">
      <c r="A19" s="28">
        <f t="shared" si="0"/>
        <v>15</v>
      </c>
      <c r="B19" s="39"/>
      <c r="C19" s="40"/>
      <c r="D19" s="41"/>
      <c r="E19" s="41"/>
      <c r="F19" s="42" t="str">
        <f t="shared" si="1"/>
        <v/>
      </c>
      <c r="G19" s="43"/>
      <c r="H19" s="44" t="str">
        <f>IF(G19&lt;&gt;"",G19,IFERROR(VLOOKUP(C19,'Purity &amp; Rates'!$A$11:$B$16,2,FALSE),""))</f>
        <v/>
      </c>
      <c r="I19" s="42" t="str">
        <f t="shared" si="2"/>
        <v/>
      </c>
      <c r="J19" s="45" t="str">
        <f>IF(I19="","",I19*'Purity &amp; Rates'!$B$4/'Purity &amp; Rates'!$B$7)</f>
        <v/>
      </c>
      <c r="K19" s="45" t="str">
        <f>IF(J19="","",J19*'Purity &amp; Rates'!$B$5)</f>
        <v/>
      </c>
      <c r="L19" s="45" t="str">
        <f>IF(J19="","",J19*'Purity &amp; Rates'!$B$6)</f>
        <v/>
      </c>
      <c r="M19" s="46"/>
      <c r="N19" s="45" t="str">
        <f t="shared" si="3"/>
        <v/>
      </c>
      <c r="O19" s="44" t="str">
        <f t="shared" si="4"/>
        <v/>
      </c>
      <c r="P19" s="45" t="str">
        <f t="shared" si="5"/>
        <v/>
      </c>
      <c r="Q19" s="47"/>
      <c r="R19" s="48"/>
      <c r="S19" s="1"/>
      <c r="T19" s="1"/>
      <c r="U19" s="1"/>
      <c r="V19" s="1"/>
      <c r="W19" s="1"/>
      <c r="X19" s="1"/>
      <c r="Y19" s="1"/>
      <c r="Z19" s="1"/>
    </row>
    <row r="20" spans="1:26" ht="15.05">
      <c r="A20" s="28">
        <f t="shared" si="0"/>
        <v>16</v>
      </c>
      <c r="B20" s="39"/>
      <c r="C20" s="40"/>
      <c r="D20" s="41"/>
      <c r="E20" s="41"/>
      <c r="F20" s="42" t="str">
        <f t="shared" si="1"/>
        <v/>
      </c>
      <c r="G20" s="43"/>
      <c r="H20" s="44" t="str">
        <f>IF(G20&lt;&gt;"",G20,IFERROR(VLOOKUP(C20,'Purity &amp; Rates'!$A$11:$B$16,2,FALSE),""))</f>
        <v/>
      </c>
      <c r="I20" s="42" t="str">
        <f t="shared" si="2"/>
        <v/>
      </c>
      <c r="J20" s="45" t="str">
        <f>IF(I20="","",I20*'Purity &amp; Rates'!$B$4/'Purity &amp; Rates'!$B$7)</f>
        <v/>
      </c>
      <c r="K20" s="45" t="str">
        <f>IF(J20="","",J20*'Purity &amp; Rates'!$B$5)</f>
        <v/>
      </c>
      <c r="L20" s="45" t="str">
        <f>IF(J20="","",J20*'Purity &amp; Rates'!$B$6)</f>
        <v/>
      </c>
      <c r="M20" s="46"/>
      <c r="N20" s="45" t="str">
        <f t="shared" si="3"/>
        <v/>
      </c>
      <c r="O20" s="44" t="str">
        <f t="shared" si="4"/>
        <v/>
      </c>
      <c r="P20" s="45" t="str">
        <f t="shared" si="5"/>
        <v/>
      </c>
      <c r="Q20" s="47"/>
      <c r="R20" s="48"/>
      <c r="S20" s="1"/>
      <c r="T20" s="1"/>
      <c r="U20" s="1"/>
      <c r="V20" s="1"/>
      <c r="W20" s="1"/>
      <c r="X20" s="1"/>
      <c r="Y20" s="1"/>
      <c r="Z20" s="1"/>
    </row>
    <row r="21" spans="1:26" ht="15.05">
      <c r="A21" s="28">
        <f t="shared" si="0"/>
        <v>17</v>
      </c>
      <c r="B21" s="39"/>
      <c r="C21" s="40"/>
      <c r="D21" s="41"/>
      <c r="E21" s="41"/>
      <c r="F21" s="42" t="str">
        <f t="shared" si="1"/>
        <v/>
      </c>
      <c r="G21" s="43"/>
      <c r="H21" s="44" t="str">
        <f>IF(G21&lt;&gt;"",G21,IFERROR(VLOOKUP(C21,'Purity &amp; Rates'!$A$11:$B$16,2,FALSE),""))</f>
        <v/>
      </c>
      <c r="I21" s="42" t="str">
        <f t="shared" si="2"/>
        <v/>
      </c>
      <c r="J21" s="45" t="str">
        <f>IF(I21="","",I21*'Purity &amp; Rates'!$B$4/'Purity &amp; Rates'!$B$7)</f>
        <v/>
      </c>
      <c r="K21" s="45" t="str">
        <f>IF(J21="","",J21*'Purity &amp; Rates'!$B$5)</f>
        <v/>
      </c>
      <c r="L21" s="45" t="str">
        <f>IF(J21="","",J21*'Purity &amp; Rates'!$B$6)</f>
        <v/>
      </c>
      <c r="M21" s="46"/>
      <c r="N21" s="45" t="str">
        <f t="shared" si="3"/>
        <v/>
      </c>
      <c r="O21" s="44" t="str">
        <f t="shared" si="4"/>
        <v/>
      </c>
      <c r="P21" s="45" t="str">
        <f t="shared" si="5"/>
        <v/>
      </c>
      <c r="Q21" s="47"/>
      <c r="R21" s="48"/>
      <c r="S21" s="1"/>
      <c r="T21" s="1"/>
      <c r="U21" s="1"/>
      <c r="V21" s="1"/>
      <c r="W21" s="1"/>
      <c r="X21" s="1"/>
      <c r="Y21" s="1"/>
      <c r="Z21" s="1"/>
    </row>
    <row r="22" spans="1:26" ht="15.05">
      <c r="A22" s="28">
        <f t="shared" si="0"/>
        <v>18</v>
      </c>
      <c r="B22" s="39"/>
      <c r="C22" s="40"/>
      <c r="D22" s="41"/>
      <c r="E22" s="41"/>
      <c r="F22" s="42" t="str">
        <f t="shared" si="1"/>
        <v/>
      </c>
      <c r="G22" s="43"/>
      <c r="H22" s="44" t="str">
        <f>IF(G22&lt;&gt;"",G22,IFERROR(VLOOKUP(C22,'Purity &amp; Rates'!$A$11:$B$16,2,FALSE),""))</f>
        <v/>
      </c>
      <c r="I22" s="42" t="str">
        <f t="shared" si="2"/>
        <v/>
      </c>
      <c r="J22" s="45" t="str">
        <f>IF(I22="","",I22*'Purity &amp; Rates'!$B$4/'Purity &amp; Rates'!$B$7)</f>
        <v/>
      </c>
      <c r="K22" s="45" t="str">
        <f>IF(J22="","",J22*'Purity &amp; Rates'!$B$5)</f>
        <v/>
      </c>
      <c r="L22" s="45" t="str">
        <f>IF(J22="","",J22*'Purity &amp; Rates'!$B$6)</f>
        <v/>
      </c>
      <c r="M22" s="46"/>
      <c r="N22" s="45" t="str">
        <f t="shared" si="3"/>
        <v/>
      </c>
      <c r="O22" s="44" t="str">
        <f t="shared" si="4"/>
        <v/>
      </c>
      <c r="P22" s="45" t="str">
        <f t="shared" si="5"/>
        <v/>
      </c>
      <c r="Q22" s="47"/>
      <c r="R22" s="48"/>
      <c r="S22" s="1"/>
      <c r="T22" s="1"/>
      <c r="U22" s="1"/>
      <c r="V22" s="1"/>
      <c r="W22" s="1"/>
      <c r="X22" s="1"/>
      <c r="Y22" s="1"/>
      <c r="Z22" s="1"/>
    </row>
    <row r="23" spans="1:26" ht="15.05">
      <c r="A23" s="28">
        <f t="shared" si="0"/>
        <v>19</v>
      </c>
      <c r="B23" s="39"/>
      <c r="C23" s="40"/>
      <c r="D23" s="41"/>
      <c r="E23" s="41"/>
      <c r="F23" s="42" t="str">
        <f t="shared" si="1"/>
        <v/>
      </c>
      <c r="G23" s="43"/>
      <c r="H23" s="44" t="str">
        <f>IF(G23&lt;&gt;"",G23,IFERROR(VLOOKUP(C23,'Purity &amp; Rates'!$A$11:$B$16,2,FALSE),""))</f>
        <v/>
      </c>
      <c r="I23" s="42" t="str">
        <f t="shared" si="2"/>
        <v/>
      </c>
      <c r="J23" s="45" t="str">
        <f>IF(I23="","",I23*'Purity &amp; Rates'!$B$4/'Purity &amp; Rates'!$B$7)</f>
        <v/>
      </c>
      <c r="K23" s="45" t="str">
        <f>IF(J23="","",J23*'Purity &amp; Rates'!$B$5)</f>
        <v/>
      </c>
      <c r="L23" s="45" t="str">
        <f>IF(J23="","",J23*'Purity &amp; Rates'!$B$6)</f>
        <v/>
      </c>
      <c r="M23" s="46"/>
      <c r="N23" s="45" t="str">
        <f t="shared" si="3"/>
        <v/>
      </c>
      <c r="O23" s="44" t="str">
        <f t="shared" si="4"/>
        <v/>
      </c>
      <c r="P23" s="45" t="str">
        <f t="shared" si="5"/>
        <v/>
      </c>
      <c r="Q23" s="47"/>
      <c r="R23" s="48"/>
      <c r="S23" s="1"/>
      <c r="T23" s="1"/>
      <c r="U23" s="1"/>
      <c r="V23" s="1"/>
      <c r="W23" s="1"/>
      <c r="X23" s="1"/>
      <c r="Y23" s="1"/>
      <c r="Z23" s="1"/>
    </row>
    <row r="24" spans="1:26" ht="15.05">
      <c r="A24" s="28">
        <f t="shared" si="0"/>
        <v>20</v>
      </c>
      <c r="B24" s="39"/>
      <c r="C24" s="40"/>
      <c r="D24" s="41"/>
      <c r="E24" s="41"/>
      <c r="F24" s="42" t="str">
        <f t="shared" si="1"/>
        <v/>
      </c>
      <c r="G24" s="43"/>
      <c r="H24" s="44" t="str">
        <f>IF(G24&lt;&gt;"",G24,IFERROR(VLOOKUP(C24,'Purity &amp; Rates'!$A$11:$B$16,2,FALSE),""))</f>
        <v/>
      </c>
      <c r="I24" s="42" t="str">
        <f t="shared" si="2"/>
        <v/>
      </c>
      <c r="J24" s="45" t="str">
        <f>IF(I24="","",I24*'Purity &amp; Rates'!$B$4/'Purity &amp; Rates'!$B$7)</f>
        <v/>
      </c>
      <c r="K24" s="45" t="str">
        <f>IF(J24="","",J24*'Purity &amp; Rates'!$B$5)</f>
        <v/>
      </c>
      <c r="L24" s="45" t="str">
        <f>IF(J24="","",J24*'Purity &amp; Rates'!$B$6)</f>
        <v/>
      </c>
      <c r="M24" s="46"/>
      <c r="N24" s="45" t="str">
        <f t="shared" si="3"/>
        <v/>
      </c>
      <c r="O24" s="44" t="str">
        <f t="shared" si="4"/>
        <v/>
      </c>
      <c r="P24" s="45" t="str">
        <f t="shared" si="5"/>
        <v/>
      </c>
      <c r="Q24" s="47"/>
      <c r="R24" s="48"/>
      <c r="S24" s="1"/>
      <c r="T24" s="1"/>
      <c r="U24" s="1"/>
      <c r="V24" s="1"/>
      <c r="W24" s="1"/>
      <c r="X24" s="1"/>
      <c r="Y24" s="1"/>
      <c r="Z24" s="1"/>
    </row>
    <row r="25" spans="1:26" ht="15.05">
      <c r="A25" s="28">
        <f t="shared" si="0"/>
        <v>21</v>
      </c>
      <c r="B25" s="39"/>
      <c r="C25" s="40"/>
      <c r="D25" s="41"/>
      <c r="E25" s="41"/>
      <c r="F25" s="42" t="str">
        <f t="shared" si="1"/>
        <v/>
      </c>
      <c r="G25" s="43"/>
      <c r="H25" s="44" t="str">
        <f>IF(G25&lt;&gt;"",G25,IFERROR(VLOOKUP(C25,'Purity &amp; Rates'!$A$11:$B$16,2,FALSE),""))</f>
        <v/>
      </c>
      <c r="I25" s="42" t="str">
        <f t="shared" si="2"/>
        <v/>
      </c>
      <c r="J25" s="45" t="str">
        <f>IF(I25="","",I25*'Purity &amp; Rates'!$B$4/'Purity &amp; Rates'!$B$7)</f>
        <v/>
      </c>
      <c r="K25" s="45" t="str">
        <f>IF(J25="","",J25*'Purity &amp; Rates'!$B$5)</f>
        <v/>
      </c>
      <c r="L25" s="45" t="str">
        <f>IF(J25="","",J25*'Purity &amp; Rates'!$B$6)</f>
        <v/>
      </c>
      <c r="M25" s="46"/>
      <c r="N25" s="45" t="str">
        <f t="shared" si="3"/>
        <v/>
      </c>
      <c r="O25" s="44" t="str">
        <f t="shared" si="4"/>
        <v/>
      </c>
      <c r="P25" s="45" t="str">
        <f t="shared" si="5"/>
        <v/>
      </c>
      <c r="Q25" s="47"/>
      <c r="R25" s="48"/>
      <c r="S25" s="1"/>
      <c r="T25" s="1"/>
      <c r="U25" s="1"/>
      <c r="V25" s="1"/>
      <c r="W25" s="1"/>
      <c r="X25" s="1"/>
      <c r="Y25" s="1"/>
      <c r="Z25" s="1"/>
    </row>
    <row r="26" spans="1:26" ht="15.05">
      <c r="A26" s="28">
        <f t="shared" si="0"/>
        <v>22</v>
      </c>
      <c r="B26" s="39"/>
      <c r="C26" s="40"/>
      <c r="D26" s="41"/>
      <c r="E26" s="41"/>
      <c r="F26" s="42" t="str">
        <f t="shared" si="1"/>
        <v/>
      </c>
      <c r="G26" s="43"/>
      <c r="H26" s="44" t="str">
        <f>IF(G26&lt;&gt;"",G26,IFERROR(VLOOKUP(C26,'Purity &amp; Rates'!$A$11:$B$16,2,FALSE),""))</f>
        <v/>
      </c>
      <c r="I26" s="42" t="str">
        <f t="shared" si="2"/>
        <v/>
      </c>
      <c r="J26" s="45" t="str">
        <f>IF(I26="","",I26*'Purity &amp; Rates'!$B$4/'Purity &amp; Rates'!$B$7)</f>
        <v/>
      </c>
      <c r="K26" s="45" t="str">
        <f>IF(J26="","",J26*'Purity &amp; Rates'!$B$5)</f>
        <v/>
      </c>
      <c r="L26" s="45" t="str">
        <f>IF(J26="","",J26*'Purity &amp; Rates'!$B$6)</f>
        <v/>
      </c>
      <c r="M26" s="46"/>
      <c r="N26" s="45" t="str">
        <f t="shared" si="3"/>
        <v/>
      </c>
      <c r="O26" s="44" t="str">
        <f t="shared" si="4"/>
        <v/>
      </c>
      <c r="P26" s="45" t="str">
        <f t="shared" si="5"/>
        <v/>
      </c>
      <c r="Q26" s="47"/>
      <c r="R26" s="48"/>
      <c r="S26" s="1"/>
      <c r="T26" s="1"/>
      <c r="U26" s="1"/>
      <c r="V26" s="1"/>
      <c r="W26" s="1"/>
      <c r="X26" s="1"/>
      <c r="Y26" s="1"/>
      <c r="Z26" s="1"/>
    </row>
    <row r="27" spans="1:26" ht="15.05">
      <c r="A27" s="28">
        <f t="shared" si="0"/>
        <v>23</v>
      </c>
      <c r="B27" s="39"/>
      <c r="C27" s="40"/>
      <c r="D27" s="41"/>
      <c r="E27" s="41"/>
      <c r="F27" s="42" t="str">
        <f t="shared" si="1"/>
        <v/>
      </c>
      <c r="G27" s="43"/>
      <c r="H27" s="44" t="str">
        <f>IF(G27&lt;&gt;"",G27,IFERROR(VLOOKUP(C27,'Purity &amp; Rates'!$A$11:$B$16,2,FALSE),""))</f>
        <v/>
      </c>
      <c r="I27" s="42" t="str">
        <f t="shared" si="2"/>
        <v/>
      </c>
      <c r="J27" s="45" t="str">
        <f>IF(I27="","",I27*'Purity &amp; Rates'!$B$4/'Purity &amp; Rates'!$B$7)</f>
        <v/>
      </c>
      <c r="K27" s="45" t="str">
        <f>IF(J27="","",J27*'Purity &amp; Rates'!$B$5)</f>
        <v/>
      </c>
      <c r="L27" s="45" t="str">
        <f>IF(J27="","",J27*'Purity &amp; Rates'!$B$6)</f>
        <v/>
      </c>
      <c r="M27" s="46"/>
      <c r="N27" s="45" t="str">
        <f t="shared" si="3"/>
        <v/>
      </c>
      <c r="O27" s="44" t="str">
        <f t="shared" si="4"/>
        <v/>
      </c>
      <c r="P27" s="45" t="str">
        <f t="shared" si="5"/>
        <v/>
      </c>
      <c r="Q27" s="47"/>
      <c r="R27" s="48"/>
      <c r="S27" s="1"/>
      <c r="T27" s="1"/>
      <c r="U27" s="1"/>
      <c r="V27" s="1"/>
      <c r="W27" s="1"/>
      <c r="X27" s="1"/>
      <c r="Y27" s="1"/>
      <c r="Z27" s="1"/>
    </row>
    <row r="28" spans="1:26" ht="15.05">
      <c r="A28" s="28">
        <f t="shared" si="0"/>
        <v>24</v>
      </c>
      <c r="B28" s="39"/>
      <c r="C28" s="40"/>
      <c r="D28" s="41"/>
      <c r="E28" s="41"/>
      <c r="F28" s="42" t="str">
        <f t="shared" si="1"/>
        <v/>
      </c>
      <c r="G28" s="43"/>
      <c r="H28" s="44" t="str">
        <f>IF(G28&lt;&gt;"",G28,IFERROR(VLOOKUP(C28,'Purity &amp; Rates'!$A$11:$B$16,2,FALSE),""))</f>
        <v/>
      </c>
      <c r="I28" s="42" t="str">
        <f t="shared" si="2"/>
        <v/>
      </c>
      <c r="J28" s="45" t="str">
        <f>IF(I28="","",I28*'Purity &amp; Rates'!$B$4/'Purity &amp; Rates'!$B$7)</f>
        <v/>
      </c>
      <c r="K28" s="45" t="str">
        <f>IF(J28="","",J28*'Purity &amp; Rates'!$B$5)</f>
        <v/>
      </c>
      <c r="L28" s="45" t="str">
        <f>IF(J28="","",J28*'Purity &amp; Rates'!$B$6)</f>
        <v/>
      </c>
      <c r="M28" s="46"/>
      <c r="N28" s="45" t="str">
        <f t="shared" si="3"/>
        <v/>
      </c>
      <c r="O28" s="44" t="str">
        <f t="shared" si="4"/>
        <v/>
      </c>
      <c r="P28" s="45" t="str">
        <f t="shared" si="5"/>
        <v/>
      </c>
      <c r="Q28" s="47"/>
      <c r="R28" s="48"/>
      <c r="S28" s="1"/>
      <c r="T28" s="1"/>
      <c r="U28" s="1"/>
      <c r="V28" s="1"/>
      <c r="W28" s="1"/>
      <c r="X28" s="1"/>
      <c r="Y28" s="1"/>
      <c r="Z28" s="1"/>
    </row>
    <row r="29" spans="1:26" ht="15.05">
      <c r="A29" s="28">
        <f t="shared" si="0"/>
        <v>25</v>
      </c>
      <c r="B29" s="39"/>
      <c r="C29" s="40"/>
      <c r="D29" s="41"/>
      <c r="E29" s="41"/>
      <c r="F29" s="42" t="str">
        <f t="shared" si="1"/>
        <v/>
      </c>
      <c r="G29" s="43"/>
      <c r="H29" s="44" t="str">
        <f>IF(G29&lt;&gt;"",G29,IFERROR(VLOOKUP(C29,'Purity &amp; Rates'!$A$11:$B$16,2,FALSE),""))</f>
        <v/>
      </c>
      <c r="I29" s="42" t="str">
        <f t="shared" si="2"/>
        <v/>
      </c>
      <c r="J29" s="45" t="str">
        <f>IF(I29="","",I29*'Purity &amp; Rates'!$B$4/'Purity &amp; Rates'!$B$7)</f>
        <v/>
      </c>
      <c r="K29" s="45" t="str">
        <f>IF(J29="","",J29*'Purity &amp; Rates'!$B$5)</f>
        <v/>
      </c>
      <c r="L29" s="45" t="str">
        <f>IF(J29="","",J29*'Purity &amp; Rates'!$B$6)</f>
        <v/>
      </c>
      <c r="M29" s="46"/>
      <c r="N29" s="45" t="str">
        <f t="shared" si="3"/>
        <v/>
      </c>
      <c r="O29" s="44" t="str">
        <f t="shared" si="4"/>
        <v/>
      </c>
      <c r="P29" s="45" t="str">
        <f t="shared" si="5"/>
        <v/>
      </c>
      <c r="Q29" s="47"/>
      <c r="R29" s="48"/>
      <c r="S29" s="1"/>
      <c r="T29" s="1"/>
      <c r="U29" s="1"/>
      <c r="V29" s="1"/>
      <c r="W29" s="1"/>
      <c r="X29" s="1"/>
      <c r="Y29" s="1"/>
      <c r="Z29" s="1"/>
    </row>
    <row r="30" spans="1:26" ht="15.05">
      <c r="A30" s="28">
        <f t="shared" si="0"/>
        <v>26</v>
      </c>
      <c r="B30" s="39"/>
      <c r="C30" s="40"/>
      <c r="D30" s="41"/>
      <c r="E30" s="41"/>
      <c r="F30" s="42" t="str">
        <f t="shared" si="1"/>
        <v/>
      </c>
      <c r="G30" s="43"/>
      <c r="H30" s="44" t="str">
        <f>IF(G30&lt;&gt;"",G30,IFERROR(VLOOKUP(C30,'Purity &amp; Rates'!$A$11:$B$16,2,FALSE),""))</f>
        <v/>
      </c>
      <c r="I30" s="42" t="str">
        <f t="shared" si="2"/>
        <v/>
      </c>
      <c r="J30" s="45" t="str">
        <f>IF(I30="","",I30*'Purity &amp; Rates'!$B$4/'Purity &amp; Rates'!$B$7)</f>
        <v/>
      </c>
      <c r="K30" s="45" t="str">
        <f>IF(J30="","",J30*'Purity &amp; Rates'!$B$5)</f>
        <v/>
      </c>
      <c r="L30" s="45" t="str">
        <f>IF(J30="","",J30*'Purity &amp; Rates'!$B$6)</f>
        <v/>
      </c>
      <c r="M30" s="46"/>
      <c r="N30" s="45" t="str">
        <f t="shared" si="3"/>
        <v/>
      </c>
      <c r="O30" s="44" t="str">
        <f t="shared" si="4"/>
        <v/>
      </c>
      <c r="P30" s="45" t="str">
        <f t="shared" si="5"/>
        <v/>
      </c>
      <c r="Q30" s="47"/>
      <c r="R30" s="48"/>
      <c r="S30" s="1"/>
      <c r="T30" s="1"/>
      <c r="U30" s="1"/>
      <c r="V30" s="1"/>
      <c r="W30" s="1"/>
      <c r="X30" s="1"/>
      <c r="Y30" s="1"/>
      <c r="Z30" s="1"/>
    </row>
    <row r="31" spans="1:26" ht="15.05">
      <c r="A31" s="28">
        <f t="shared" si="0"/>
        <v>27</v>
      </c>
      <c r="B31" s="39"/>
      <c r="C31" s="40"/>
      <c r="D31" s="41"/>
      <c r="E31" s="41"/>
      <c r="F31" s="42" t="str">
        <f t="shared" si="1"/>
        <v/>
      </c>
      <c r="G31" s="43"/>
      <c r="H31" s="44" t="str">
        <f>IF(G31&lt;&gt;"",G31,IFERROR(VLOOKUP(C31,'Purity &amp; Rates'!$A$11:$B$16,2,FALSE),""))</f>
        <v/>
      </c>
      <c r="I31" s="42" t="str">
        <f t="shared" si="2"/>
        <v/>
      </c>
      <c r="J31" s="45" t="str">
        <f>IF(I31="","",I31*'Purity &amp; Rates'!$B$4/'Purity &amp; Rates'!$B$7)</f>
        <v/>
      </c>
      <c r="K31" s="45" t="str">
        <f>IF(J31="","",J31*'Purity &amp; Rates'!$B$5)</f>
        <v/>
      </c>
      <c r="L31" s="45" t="str">
        <f>IF(J31="","",J31*'Purity &amp; Rates'!$B$6)</f>
        <v/>
      </c>
      <c r="M31" s="46"/>
      <c r="N31" s="45" t="str">
        <f t="shared" si="3"/>
        <v/>
      </c>
      <c r="O31" s="44" t="str">
        <f t="shared" si="4"/>
        <v/>
      </c>
      <c r="P31" s="45" t="str">
        <f t="shared" si="5"/>
        <v/>
      </c>
      <c r="Q31" s="47"/>
      <c r="R31" s="48"/>
      <c r="S31" s="1"/>
      <c r="T31" s="1"/>
      <c r="U31" s="1"/>
      <c r="V31" s="1"/>
      <c r="W31" s="1"/>
      <c r="X31" s="1"/>
      <c r="Y31" s="1"/>
      <c r="Z31" s="1"/>
    </row>
    <row r="32" spans="1:26" ht="15.05">
      <c r="A32" s="28">
        <f t="shared" si="0"/>
        <v>28</v>
      </c>
      <c r="B32" s="39"/>
      <c r="C32" s="40"/>
      <c r="D32" s="41"/>
      <c r="E32" s="41"/>
      <c r="F32" s="42" t="str">
        <f t="shared" si="1"/>
        <v/>
      </c>
      <c r="G32" s="43"/>
      <c r="H32" s="44" t="str">
        <f>IF(G32&lt;&gt;"",G32,IFERROR(VLOOKUP(C32,'Purity &amp; Rates'!$A$11:$B$16,2,FALSE),""))</f>
        <v/>
      </c>
      <c r="I32" s="42" t="str">
        <f t="shared" si="2"/>
        <v/>
      </c>
      <c r="J32" s="45" t="str">
        <f>IF(I32="","",I32*'Purity &amp; Rates'!$B$4/'Purity &amp; Rates'!$B$7)</f>
        <v/>
      </c>
      <c r="K32" s="45" t="str">
        <f>IF(J32="","",J32*'Purity &amp; Rates'!$B$5)</f>
        <v/>
      </c>
      <c r="L32" s="45" t="str">
        <f>IF(J32="","",J32*'Purity &amp; Rates'!$B$6)</f>
        <v/>
      </c>
      <c r="M32" s="46"/>
      <c r="N32" s="45" t="str">
        <f t="shared" si="3"/>
        <v/>
      </c>
      <c r="O32" s="44" t="str">
        <f t="shared" si="4"/>
        <v/>
      </c>
      <c r="P32" s="45" t="str">
        <f t="shared" si="5"/>
        <v/>
      </c>
      <c r="Q32" s="47"/>
      <c r="R32" s="48"/>
      <c r="S32" s="1"/>
      <c r="T32" s="1"/>
      <c r="U32" s="1"/>
      <c r="V32" s="1"/>
      <c r="W32" s="1"/>
      <c r="X32" s="1"/>
      <c r="Y32" s="1"/>
      <c r="Z32" s="1"/>
    </row>
    <row r="33" spans="1:26" ht="15.05">
      <c r="A33" s="28">
        <f t="shared" si="0"/>
        <v>29</v>
      </c>
      <c r="B33" s="39"/>
      <c r="C33" s="40"/>
      <c r="D33" s="41"/>
      <c r="E33" s="41"/>
      <c r="F33" s="42" t="str">
        <f t="shared" si="1"/>
        <v/>
      </c>
      <c r="G33" s="43"/>
      <c r="H33" s="44" t="str">
        <f>IF(G33&lt;&gt;"",G33,IFERROR(VLOOKUP(C33,'Purity &amp; Rates'!$A$11:$B$16,2,FALSE),""))</f>
        <v/>
      </c>
      <c r="I33" s="42" t="str">
        <f t="shared" si="2"/>
        <v/>
      </c>
      <c r="J33" s="45" t="str">
        <f>IF(I33="","",I33*'Purity &amp; Rates'!$B$4/'Purity &amp; Rates'!$B$7)</f>
        <v/>
      </c>
      <c r="K33" s="45" t="str">
        <f>IF(J33="","",J33*'Purity &amp; Rates'!$B$5)</f>
        <v/>
      </c>
      <c r="L33" s="45" t="str">
        <f>IF(J33="","",J33*'Purity &amp; Rates'!$B$6)</f>
        <v/>
      </c>
      <c r="M33" s="46"/>
      <c r="N33" s="45" t="str">
        <f t="shared" si="3"/>
        <v/>
      </c>
      <c r="O33" s="44" t="str">
        <f t="shared" si="4"/>
        <v/>
      </c>
      <c r="P33" s="45" t="str">
        <f t="shared" si="5"/>
        <v/>
      </c>
      <c r="Q33" s="47"/>
      <c r="R33" s="48"/>
      <c r="S33" s="1"/>
      <c r="T33" s="1"/>
      <c r="U33" s="1"/>
      <c r="V33" s="1"/>
      <c r="W33" s="1"/>
      <c r="X33" s="1"/>
      <c r="Y33" s="1"/>
      <c r="Z33" s="1"/>
    </row>
    <row r="34" spans="1:26" ht="15.05">
      <c r="A34" s="28">
        <f t="shared" si="0"/>
        <v>30</v>
      </c>
      <c r="B34" s="39"/>
      <c r="C34" s="40"/>
      <c r="D34" s="41"/>
      <c r="E34" s="41"/>
      <c r="F34" s="42" t="str">
        <f t="shared" si="1"/>
        <v/>
      </c>
      <c r="G34" s="43"/>
      <c r="H34" s="44" t="str">
        <f>IF(G34&lt;&gt;"",G34,IFERROR(VLOOKUP(C34,'Purity &amp; Rates'!$A$11:$B$16,2,FALSE),""))</f>
        <v/>
      </c>
      <c r="I34" s="42" t="str">
        <f t="shared" si="2"/>
        <v/>
      </c>
      <c r="J34" s="45" t="str">
        <f>IF(I34="","",I34*'Purity &amp; Rates'!$B$4/'Purity &amp; Rates'!$B$7)</f>
        <v/>
      </c>
      <c r="K34" s="45" t="str">
        <f>IF(J34="","",J34*'Purity &amp; Rates'!$B$5)</f>
        <v/>
      </c>
      <c r="L34" s="45" t="str">
        <f>IF(J34="","",J34*'Purity &amp; Rates'!$B$6)</f>
        <v/>
      </c>
      <c r="M34" s="46"/>
      <c r="N34" s="45" t="str">
        <f t="shared" si="3"/>
        <v/>
      </c>
      <c r="O34" s="44" t="str">
        <f t="shared" si="4"/>
        <v/>
      </c>
      <c r="P34" s="45" t="str">
        <f t="shared" si="5"/>
        <v/>
      </c>
      <c r="Q34" s="47"/>
      <c r="R34" s="48"/>
      <c r="S34" s="1"/>
      <c r="T34" s="1"/>
      <c r="U34" s="1"/>
      <c r="V34" s="1"/>
      <c r="W34" s="1"/>
      <c r="X34" s="1"/>
      <c r="Y34" s="1"/>
      <c r="Z34" s="1"/>
    </row>
    <row r="35" spans="1:26" ht="15.05">
      <c r="A35" s="28">
        <f t="shared" si="0"/>
        <v>31</v>
      </c>
      <c r="B35" s="39"/>
      <c r="C35" s="40"/>
      <c r="D35" s="41"/>
      <c r="E35" s="41"/>
      <c r="F35" s="42" t="str">
        <f t="shared" si="1"/>
        <v/>
      </c>
      <c r="G35" s="43"/>
      <c r="H35" s="44" t="str">
        <f>IF(G35&lt;&gt;"",G35,IFERROR(VLOOKUP(C35,'Purity &amp; Rates'!$A$11:$B$16,2,FALSE),""))</f>
        <v/>
      </c>
      <c r="I35" s="42" t="str">
        <f t="shared" si="2"/>
        <v/>
      </c>
      <c r="J35" s="45" t="str">
        <f>IF(I35="","",I35*'Purity &amp; Rates'!$B$4/'Purity &amp; Rates'!$B$7)</f>
        <v/>
      </c>
      <c r="K35" s="45" t="str">
        <f>IF(J35="","",J35*'Purity &amp; Rates'!$B$5)</f>
        <v/>
      </c>
      <c r="L35" s="45" t="str">
        <f>IF(J35="","",J35*'Purity &amp; Rates'!$B$6)</f>
        <v/>
      </c>
      <c r="M35" s="46"/>
      <c r="N35" s="45" t="str">
        <f t="shared" si="3"/>
        <v/>
      </c>
      <c r="O35" s="44" t="str">
        <f t="shared" si="4"/>
        <v/>
      </c>
      <c r="P35" s="45" t="str">
        <f t="shared" si="5"/>
        <v/>
      </c>
      <c r="Q35" s="47"/>
      <c r="R35" s="48"/>
      <c r="S35" s="1"/>
      <c r="T35" s="1"/>
      <c r="U35" s="1"/>
      <c r="V35" s="1"/>
      <c r="W35" s="1"/>
      <c r="X35" s="1"/>
      <c r="Y35" s="1"/>
      <c r="Z35" s="1"/>
    </row>
    <row r="36" spans="1:26" ht="15.05">
      <c r="A36" s="28">
        <f t="shared" si="0"/>
        <v>32</v>
      </c>
      <c r="B36" s="39"/>
      <c r="C36" s="40"/>
      <c r="D36" s="41"/>
      <c r="E36" s="41"/>
      <c r="F36" s="42" t="str">
        <f t="shared" si="1"/>
        <v/>
      </c>
      <c r="G36" s="43"/>
      <c r="H36" s="44" t="str">
        <f>IF(G36&lt;&gt;"",G36,IFERROR(VLOOKUP(C36,'Purity &amp; Rates'!$A$11:$B$16,2,FALSE),""))</f>
        <v/>
      </c>
      <c r="I36" s="42" t="str">
        <f t="shared" si="2"/>
        <v/>
      </c>
      <c r="J36" s="45" t="str">
        <f>IF(I36="","",I36*'Purity &amp; Rates'!$B$4/'Purity &amp; Rates'!$B$7)</f>
        <v/>
      </c>
      <c r="K36" s="45" t="str">
        <f>IF(J36="","",J36*'Purity &amp; Rates'!$B$5)</f>
        <v/>
      </c>
      <c r="L36" s="45" t="str">
        <f>IF(J36="","",J36*'Purity &amp; Rates'!$B$6)</f>
        <v/>
      </c>
      <c r="M36" s="46"/>
      <c r="N36" s="45" t="str">
        <f t="shared" si="3"/>
        <v/>
      </c>
      <c r="O36" s="44" t="str">
        <f t="shared" si="4"/>
        <v/>
      </c>
      <c r="P36" s="45" t="str">
        <f t="shared" si="5"/>
        <v/>
      </c>
      <c r="Q36" s="47"/>
      <c r="R36" s="48"/>
      <c r="S36" s="1"/>
      <c r="T36" s="1"/>
      <c r="U36" s="1"/>
      <c r="V36" s="1"/>
      <c r="W36" s="1"/>
      <c r="X36" s="1"/>
      <c r="Y36" s="1"/>
      <c r="Z36" s="1"/>
    </row>
    <row r="37" spans="1:26" ht="15.05">
      <c r="A37" s="28">
        <f t="shared" ref="A37:A68" si="6">ROW()-4</f>
        <v>33</v>
      </c>
      <c r="B37" s="39"/>
      <c r="C37" s="40"/>
      <c r="D37" s="41"/>
      <c r="E37" s="41"/>
      <c r="F37" s="42" t="str">
        <f t="shared" ref="F37:F68" si="7">IF(D37="","",MAX(D37-IF(E37="",0,E37),0))</f>
        <v/>
      </c>
      <c r="G37" s="43"/>
      <c r="H37" s="44" t="str">
        <f>IF(G37&lt;&gt;"",G37,IFERROR(VLOOKUP(C37,'Purity &amp; Rates'!$A$11:$B$16,2,FALSE),""))</f>
        <v/>
      </c>
      <c r="I37" s="42" t="str">
        <f t="shared" ref="I37:I68" si="8">IF(OR(F37="",H37=""),"",F37*H37)</f>
        <v/>
      </c>
      <c r="J37" s="45" t="str">
        <f>IF(I37="","",I37*'Purity &amp; Rates'!$B$4/'Purity &amp; Rates'!$B$7)</f>
        <v/>
      </c>
      <c r="K37" s="45" t="str">
        <f>IF(J37="","",J37*'Purity &amp; Rates'!$B$5)</f>
        <v/>
      </c>
      <c r="L37" s="45" t="str">
        <f>IF(J37="","",J37*'Purity &amp; Rates'!$B$6)</f>
        <v/>
      </c>
      <c r="M37" s="46"/>
      <c r="N37" s="45" t="str">
        <f t="shared" ref="N37:N68" si="9">IF(OR(J37="",M37=""),"",J37-M37)</f>
        <v/>
      </c>
      <c r="O37" s="44" t="str">
        <f t="shared" ref="O37:O68" si="10">IF(OR(N37="",M37=0),"",N37/M37)</f>
        <v/>
      </c>
      <c r="P37" s="45" t="str">
        <f t="shared" ref="P37:P68" si="11">IF(OR(K37="",M37=""),"",K37-M37)</f>
        <v/>
      </c>
      <c r="Q37" s="47"/>
      <c r="R37" s="48"/>
      <c r="S37" s="1"/>
      <c r="T37" s="1"/>
      <c r="U37" s="1"/>
      <c r="V37" s="1"/>
      <c r="W37" s="1"/>
      <c r="X37" s="1"/>
      <c r="Y37" s="1"/>
      <c r="Z37" s="1"/>
    </row>
    <row r="38" spans="1:26" ht="15.05">
      <c r="A38" s="28">
        <f t="shared" si="6"/>
        <v>34</v>
      </c>
      <c r="B38" s="39"/>
      <c r="C38" s="40"/>
      <c r="D38" s="41"/>
      <c r="E38" s="41"/>
      <c r="F38" s="42" t="str">
        <f t="shared" si="7"/>
        <v/>
      </c>
      <c r="G38" s="43"/>
      <c r="H38" s="44" t="str">
        <f>IF(G38&lt;&gt;"",G38,IFERROR(VLOOKUP(C38,'Purity &amp; Rates'!$A$11:$B$16,2,FALSE),""))</f>
        <v/>
      </c>
      <c r="I38" s="42" t="str">
        <f t="shared" si="8"/>
        <v/>
      </c>
      <c r="J38" s="45" t="str">
        <f>IF(I38="","",I38*'Purity &amp; Rates'!$B$4/'Purity &amp; Rates'!$B$7)</f>
        <v/>
      </c>
      <c r="K38" s="45" t="str">
        <f>IF(J38="","",J38*'Purity &amp; Rates'!$B$5)</f>
        <v/>
      </c>
      <c r="L38" s="45" t="str">
        <f>IF(J38="","",J38*'Purity &amp; Rates'!$B$6)</f>
        <v/>
      </c>
      <c r="M38" s="46"/>
      <c r="N38" s="45" t="str">
        <f t="shared" si="9"/>
        <v/>
      </c>
      <c r="O38" s="44" t="str">
        <f t="shared" si="10"/>
        <v/>
      </c>
      <c r="P38" s="45" t="str">
        <f t="shared" si="11"/>
        <v/>
      </c>
      <c r="Q38" s="47"/>
      <c r="R38" s="48"/>
      <c r="S38" s="1"/>
      <c r="T38" s="1"/>
      <c r="U38" s="1"/>
      <c r="V38" s="1"/>
      <c r="W38" s="1"/>
      <c r="X38" s="1"/>
      <c r="Y38" s="1"/>
      <c r="Z38" s="1"/>
    </row>
    <row r="39" spans="1:26" ht="15.05">
      <c r="A39" s="28">
        <f t="shared" si="6"/>
        <v>35</v>
      </c>
      <c r="B39" s="39"/>
      <c r="C39" s="40"/>
      <c r="D39" s="41"/>
      <c r="E39" s="41"/>
      <c r="F39" s="42" t="str">
        <f t="shared" si="7"/>
        <v/>
      </c>
      <c r="G39" s="43"/>
      <c r="H39" s="44" t="str">
        <f>IF(G39&lt;&gt;"",G39,IFERROR(VLOOKUP(C39,'Purity &amp; Rates'!$A$11:$B$16,2,FALSE),""))</f>
        <v/>
      </c>
      <c r="I39" s="42" t="str">
        <f t="shared" si="8"/>
        <v/>
      </c>
      <c r="J39" s="45" t="str">
        <f>IF(I39="","",I39*'Purity &amp; Rates'!$B$4/'Purity &amp; Rates'!$B$7)</f>
        <v/>
      </c>
      <c r="K39" s="45" t="str">
        <f>IF(J39="","",J39*'Purity &amp; Rates'!$B$5)</f>
        <v/>
      </c>
      <c r="L39" s="45" t="str">
        <f>IF(J39="","",J39*'Purity &amp; Rates'!$B$6)</f>
        <v/>
      </c>
      <c r="M39" s="46"/>
      <c r="N39" s="45" t="str">
        <f t="shared" si="9"/>
        <v/>
      </c>
      <c r="O39" s="44" t="str">
        <f t="shared" si="10"/>
        <v/>
      </c>
      <c r="P39" s="45" t="str">
        <f t="shared" si="11"/>
        <v/>
      </c>
      <c r="Q39" s="47"/>
      <c r="R39" s="48"/>
      <c r="S39" s="1"/>
      <c r="T39" s="1"/>
      <c r="U39" s="1"/>
      <c r="V39" s="1"/>
      <c r="W39" s="1"/>
      <c r="X39" s="1"/>
      <c r="Y39" s="1"/>
      <c r="Z39" s="1"/>
    </row>
    <row r="40" spans="1:26" ht="15.05">
      <c r="A40" s="28">
        <f t="shared" si="6"/>
        <v>36</v>
      </c>
      <c r="B40" s="39"/>
      <c r="C40" s="40"/>
      <c r="D40" s="41"/>
      <c r="E40" s="41"/>
      <c r="F40" s="42" t="str">
        <f t="shared" si="7"/>
        <v/>
      </c>
      <c r="G40" s="43"/>
      <c r="H40" s="44" t="str">
        <f>IF(G40&lt;&gt;"",G40,IFERROR(VLOOKUP(C40,'Purity &amp; Rates'!$A$11:$B$16,2,FALSE),""))</f>
        <v/>
      </c>
      <c r="I40" s="42" t="str">
        <f t="shared" si="8"/>
        <v/>
      </c>
      <c r="J40" s="45" t="str">
        <f>IF(I40="","",I40*'Purity &amp; Rates'!$B$4/'Purity &amp; Rates'!$B$7)</f>
        <v/>
      </c>
      <c r="K40" s="45" t="str">
        <f>IF(J40="","",J40*'Purity &amp; Rates'!$B$5)</f>
        <v/>
      </c>
      <c r="L40" s="45" t="str">
        <f>IF(J40="","",J40*'Purity &amp; Rates'!$B$6)</f>
        <v/>
      </c>
      <c r="M40" s="46"/>
      <c r="N40" s="45" t="str">
        <f t="shared" si="9"/>
        <v/>
      </c>
      <c r="O40" s="44" t="str">
        <f t="shared" si="10"/>
        <v/>
      </c>
      <c r="P40" s="45" t="str">
        <f t="shared" si="11"/>
        <v/>
      </c>
      <c r="Q40" s="47"/>
      <c r="R40" s="48"/>
      <c r="S40" s="1"/>
      <c r="T40" s="1"/>
      <c r="U40" s="1"/>
      <c r="V40" s="1"/>
      <c r="W40" s="1"/>
      <c r="X40" s="1"/>
      <c r="Y40" s="1"/>
      <c r="Z40" s="1"/>
    </row>
    <row r="41" spans="1:26" ht="15.05">
      <c r="A41" s="28">
        <f t="shared" si="6"/>
        <v>37</v>
      </c>
      <c r="B41" s="39"/>
      <c r="C41" s="40"/>
      <c r="D41" s="41"/>
      <c r="E41" s="41"/>
      <c r="F41" s="42" t="str">
        <f t="shared" si="7"/>
        <v/>
      </c>
      <c r="G41" s="43"/>
      <c r="H41" s="44" t="str">
        <f>IF(G41&lt;&gt;"",G41,IFERROR(VLOOKUP(C41,'Purity &amp; Rates'!$A$11:$B$16,2,FALSE),""))</f>
        <v/>
      </c>
      <c r="I41" s="42" t="str">
        <f t="shared" si="8"/>
        <v/>
      </c>
      <c r="J41" s="45" t="str">
        <f>IF(I41="","",I41*'Purity &amp; Rates'!$B$4/'Purity &amp; Rates'!$B$7)</f>
        <v/>
      </c>
      <c r="K41" s="45" t="str">
        <f>IF(J41="","",J41*'Purity &amp; Rates'!$B$5)</f>
        <v/>
      </c>
      <c r="L41" s="45" t="str">
        <f>IF(J41="","",J41*'Purity &amp; Rates'!$B$6)</f>
        <v/>
      </c>
      <c r="M41" s="46"/>
      <c r="N41" s="45" t="str">
        <f t="shared" si="9"/>
        <v/>
      </c>
      <c r="O41" s="44" t="str">
        <f t="shared" si="10"/>
        <v/>
      </c>
      <c r="P41" s="45" t="str">
        <f t="shared" si="11"/>
        <v/>
      </c>
      <c r="Q41" s="47"/>
      <c r="R41" s="48"/>
      <c r="S41" s="1"/>
      <c r="T41" s="1"/>
      <c r="U41" s="1"/>
      <c r="V41" s="1"/>
      <c r="W41" s="1"/>
      <c r="X41" s="1"/>
      <c r="Y41" s="1"/>
      <c r="Z41" s="1"/>
    </row>
    <row r="42" spans="1:26" ht="15.05">
      <c r="A42" s="28">
        <f t="shared" si="6"/>
        <v>38</v>
      </c>
      <c r="B42" s="39"/>
      <c r="C42" s="40"/>
      <c r="D42" s="41"/>
      <c r="E42" s="41"/>
      <c r="F42" s="42" t="str">
        <f t="shared" si="7"/>
        <v/>
      </c>
      <c r="G42" s="43"/>
      <c r="H42" s="44" t="str">
        <f>IF(G42&lt;&gt;"",G42,IFERROR(VLOOKUP(C42,'Purity &amp; Rates'!$A$11:$B$16,2,FALSE),""))</f>
        <v/>
      </c>
      <c r="I42" s="42" t="str">
        <f t="shared" si="8"/>
        <v/>
      </c>
      <c r="J42" s="45" t="str">
        <f>IF(I42="","",I42*'Purity &amp; Rates'!$B$4/'Purity &amp; Rates'!$B$7)</f>
        <v/>
      </c>
      <c r="K42" s="45" t="str">
        <f>IF(J42="","",J42*'Purity &amp; Rates'!$B$5)</f>
        <v/>
      </c>
      <c r="L42" s="45" t="str">
        <f>IF(J42="","",J42*'Purity &amp; Rates'!$B$6)</f>
        <v/>
      </c>
      <c r="M42" s="46"/>
      <c r="N42" s="45" t="str">
        <f t="shared" si="9"/>
        <v/>
      </c>
      <c r="O42" s="44" t="str">
        <f t="shared" si="10"/>
        <v/>
      </c>
      <c r="P42" s="45" t="str">
        <f t="shared" si="11"/>
        <v/>
      </c>
      <c r="Q42" s="47"/>
      <c r="R42" s="48"/>
      <c r="S42" s="1"/>
      <c r="T42" s="1"/>
      <c r="U42" s="1"/>
      <c r="V42" s="1"/>
      <c r="W42" s="1"/>
      <c r="X42" s="1"/>
      <c r="Y42" s="1"/>
      <c r="Z42" s="1"/>
    </row>
    <row r="43" spans="1:26" ht="15.05">
      <c r="A43" s="28">
        <f t="shared" si="6"/>
        <v>39</v>
      </c>
      <c r="B43" s="39"/>
      <c r="C43" s="40"/>
      <c r="D43" s="41"/>
      <c r="E43" s="41"/>
      <c r="F43" s="42" t="str">
        <f t="shared" si="7"/>
        <v/>
      </c>
      <c r="G43" s="43"/>
      <c r="H43" s="44" t="str">
        <f>IF(G43&lt;&gt;"",G43,IFERROR(VLOOKUP(C43,'Purity &amp; Rates'!$A$11:$B$16,2,FALSE),""))</f>
        <v/>
      </c>
      <c r="I43" s="42" t="str">
        <f t="shared" si="8"/>
        <v/>
      </c>
      <c r="J43" s="45" t="str">
        <f>IF(I43="","",I43*'Purity &amp; Rates'!$B$4/'Purity &amp; Rates'!$B$7)</f>
        <v/>
      </c>
      <c r="K43" s="45" t="str">
        <f>IF(J43="","",J43*'Purity &amp; Rates'!$B$5)</f>
        <v/>
      </c>
      <c r="L43" s="45" t="str">
        <f>IF(J43="","",J43*'Purity &amp; Rates'!$B$6)</f>
        <v/>
      </c>
      <c r="M43" s="46"/>
      <c r="N43" s="45" t="str">
        <f t="shared" si="9"/>
        <v/>
      </c>
      <c r="O43" s="44" t="str">
        <f t="shared" si="10"/>
        <v/>
      </c>
      <c r="P43" s="45" t="str">
        <f t="shared" si="11"/>
        <v/>
      </c>
      <c r="Q43" s="47"/>
      <c r="R43" s="48"/>
      <c r="S43" s="1"/>
      <c r="T43" s="1"/>
      <c r="U43" s="1"/>
      <c r="V43" s="1"/>
      <c r="W43" s="1"/>
      <c r="X43" s="1"/>
      <c r="Y43" s="1"/>
      <c r="Z43" s="1"/>
    </row>
    <row r="44" spans="1:26" ht="15.05">
      <c r="A44" s="28">
        <f t="shared" si="6"/>
        <v>40</v>
      </c>
      <c r="B44" s="39"/>
      <c r="C44" s="40"/>
      <c r="D44" s="41"/>
      <c r="E44" s="41"/>
      <c r="F44" s="42" t="str">
        <f t="shared" si="7"/>
        <v/>
      </c>
      <c r="G44" s="43"/>
      <c r="H44" s="44" t="str">
        <f>IF(G44&lt;&gt;"",G44,IFERROR(VLOOKUP(C44,'Purity &amp; Rates'!$A$11:$B$16,2,FALSE),""))</f>
        <v/>
      </c>
      <c r="I44" s="42" t="str">
        <f t="shared" si="8"/>
        <v/>
      </c>
      <c r="J44" s="45" t="str">
        <f>IF(I44="","",I44*'Purity &amp; Rates'!$B$4/'Purity &amp; Rates'!$B$7)</f>
        <v/>
      </c>
      <c r="K44" s="45" t="str">
        <f>IF(J44="","",J44*'Purity &amp; Rates'!$B$5)</f>
        <v/>
      </c>
      <c r="L44" s="45" t="str">
        <f>IF(J44="","",J44*'Purity &amp; Rates'!$B$6)</f>
        <v/>
      </c>
      <c r="M44" s="46"/>
      <c r="N44" s="45" t="str">
        <f t="shared" si="9"/>
        <v/>
      </c>
      <c r="O44" s="44" t="str">
        <f t="shared" si="10"/>
        <v/>
      </c>
      <c r="P44" s="45" t="str">
        <f t="shared" si="11"/>
        <v/>
      </c>
      <c r="Q44" s="47"/>
      <c r="R44" s="48"/>
      <c r="S44" s="1"/>
      <c r="T44" s="1"/>
      <c r="U44" s="1"/>
      <c r="V44" s="1"/>
      <c r="W44" s="1"/>
      <c r="X44" s="1"/>
      <c r="Y44" s="1"/>
      <c r="Z44" s="1"/>
    </row>
    <row r="45" spans="1:26" ht="15.05">
      <c r="A45" s="28">
        <f t="shared" si="6"/>
        <v>41</v>
      </c>
      <c r="B45" s="39"/>
      <c r="C45" s="40"/>
      <c r="D45" s="41"/>
      <c r="E45" s="41"/>
      <c r="F45" s="42" t="str">
        <f t="shared" si="7"/>
        <v/>
      </c>
      <c r="G45" s="43"/>
      <c r="H45" s="44" t="str">
        <f>IF(G45&lt;&gt;"",G45,IFERROR(VLOOKUP(C45,'Purity &amp; Rates'!$A$11:$B$16,2,FALSE),""))</f>
        <v/>
      </c>
      <c r="I45" s="42" t="str">
        <f t="shared" si="8"/>
        <v/>
      </c>
      <c r="J45" s="45" t="str">
        <f>IF(I45="","",I45*'Purity &amp; Rates'!$B$4/'Purity &amp; Rates'!$B$7)</f>
        <v/>
      </c>
      <c r="K45" s="45" t="str">
        <f>IF(J45="","",J45*'Purity &amp; Rates'!$B$5)</f>
        <v/>
      </c>
      <c r="L45" s="45" t="str">
        <f>IF(J45="","",J45*'Purity &amp; Rates'!$B$6)</f>
        <v/>
      </c>
      <c r="M45" s="46"/>
      <c r="N45" s="45" t="str">
        <f t="shared" si="9"/>
        <v/>
      </c>
      <c r="O45" s="44" t="str">
        <f t="shared" si="10"/>
        <v/>
      </c>
      <c r="P45" s="45" t="str">
        <f t="shared" si="11"/>
        <v/>
      </c>
      <c r="Q45" s="47"/>
      <c r="R45" s="48"/>
      <c r="S45" s="1"/>
      <c r="T45" s="1"/>
      <c r="U45" s="1"/>
      <c r="V45" s="1"/>
      <c r="W45" s="1"/>
      <c r="X45" s="1"/>
      <c r="Y45" s="1"/>
      <c r="Z45" s="1"/>
    </row>
    <row r="46" spans="1:26" ht="15.05">
      <c r="A46" s="28">
        <f t="shared" si="6"/>
        <v>42</v>
      </c>
      <c r="B46" s="39"/>
      <c r="C46" s="40"/>
      <c r="D46" s="41"/>
      <c r="E46" s="41"/>
      <c r="F46" s="42" t="str">
        <f t="shared" si="7"/>
        <v/>
      </c>
      <c r="G46" s="43"/>
      <c r="H46" s="44" t="str">
        <f>IF(G46&lt;&gt;"",G46,IFERROR(VLOOKUP(C46,'Purity &amp; Rates'!$A$11:$B$16,2,FALSE),""))</f>
        <v/>
      </c>
      <c r="I46" s="42" t="str">
        <f t="shared" si="8"/>
        <v/>
      </c>
      <c r="J46" s="45" t="str">
        <f>IF(I46="","",I46*'Purity &amp; Rates'!$B$4/'Purity &amp; Rates'!$B$7)</f>
        <v/>
      </c>
      <c r="K46" s="45" t="str">
        <f>IF(J46="","",J46*'Purity &amp; Rates'!$B$5)</f>
        <v/>
      </c>
      <c r="L46" s="45" t="str">
        <f>IF(J46="","",J46*'Purity &amp; Rates'!$B$6)</f>
        <v/>
      </c>
      <c r="M46" s="46"/>
      <c r="N46" s="45" t="str">
        <f t="shared" si="9"/>
        <v/>
      </c>
      <c r="O46" s="44" t="str">
        <f t="shared" si="10"/>
        <v/>
      </c>
      <c r="P46" s="45" t="str">
        <f t="shared" si="11"/>
        <v/>
      </c>
      <c r="Q46" s="47"/>
      <c r="R46" s="48"/>
      <c r="S46" s="1"/>
      <c r="T46" s="1"/>
      <c r="U46" s="1"/>
      <c r="V46" s="1"/>
      <c r="W46" s="1"/>
      <c r="X46" s="1"/>
      <c r="Y46" s="1"/>
      <c r="Z46" s="1"/>
    </row>
    <row r="47" spans="1:26" ht="15.05">
      <c r="A47" s="28">
        <f t="shared" si="6"/>
        <v>43</v>
      </c>
      <c r="B47" s="39"/>
      <c r="C47" s="40"/>
      <c r="D47" s="41"/>
      <c r="E47" s="41"/>
      <c r="F47" s="42" t="str">
        <f t="shared" si="7"/>
        <v/>
      </c>
      <c r="G47" s="43"/>
      <c r="H47" s="44" t="str">
        <f>IF(G47&lt;&gt;"",G47,IFERROR(VLOOKUP(C47,'Purity &amp; Rates'!$A$11:$B$16,2,FALSE),""))</f>
        <v/>
      </c>
      <c r="I47" s="42" t="str">
        <f t="shared" si="8"/>
        <v/>
      </c>
      <c r="J47" s="45" t="str">
        <f>IF(I47="","",I47*'Purity &amp; Rates'!$B$4/'Purity &amp; Rates'!$B$7)</f>
        <v/>
      </c>
      <c r="K47" s="45" t="str">
        <f>IF(J47="","",J47*'Purity &amp; Rates'!$B$5)</f>
        <v/>
      </c>
      <c r="L47" s="45" t="str">
        <f>IF(J47="","",J47*'Purity &amp; Rates'!$B$6)</f>
        <v/>
      </c>
      <c r="M47" s="46"/>
      <c r="N47" s="45" t="str">
        <f t="shared" si="9"/>
        <v/>
      </c>
      <c r="O47" s="44" t="str">
        <f t="shared" si="10"/>
        <v/>
      </c>
      <c r="P47" s="45" t="str">
        <f t="shared" si="11"/>
        <v/>
      </c>
      <c r="Q47" s="47"/>
      <c r="R47" s="48"/>
      <c r="S47" s="1"/>
      <c r="T47" s="1"/>
      <c r="U47" s="1"/>
      <c r="V47" s="1"/>
      <c r="W47" s="1"/>
      <c r="X47" s="1"/>
      <c r="Y47" s="1"/>
      <c r="Z47" s="1"/>
    </row>
    <row r="48" spans="1:26" ht="15.05">
      <c r="A48" s="28">
        <f t="shared" si="6"/>
        <v>44</v>
      </c>
      <c r="B48" s="39"/>
      <c r="C48" s="40"/>
      <c r="D48" s="41"/>
      <c r="E48" s="41"/>
      <c r="F48" s="42" t="str">
        <f t="shared" si="7"/>
        <v/>
      </c>
      <c r="G48" s="43"/>
      <c r="H48" s="44" t="str">
        <f>IF(G48&lt;&gt;"",G48,IFERROR(VLOOKUP(C48,'Purity &amp; Rates'!$A$11:$B$16,2,FALSE),""))</f>
        <v/>
      </c>
      <c r="I48" s="42" t="str">
        <f t="shared" si="8"/>
        <v/>
      </c>
      <c r="J48" s="45" t="str">
        <f>IF(I48="","",I48*'Purity &amp; Rates'!$B$4/'Purity &amp; Rates'!$B$7)</f>
        <v/>
      </c>
      <c r="K48" s="45" t="str">
        <f>IF(J48="","",J48*'Purity &amp; Rates'!$B$5)</f>
        <v/>
      </c>
      <c r="L48" s="45" t="str">
        <f>IF(J48="","",J48*'Purity &amp; Rates'!$B$6)</f>
        <v/>
      </c>
      <c r="M48" s="46"/>
      <c r="N48" s="45" t="str">
        <f t="shared" si="9"/>
        <v/>
      </c>
      <c r="O48" s="44" t="str">
        <f t="shared" si="10"/>
        <v/>
      </c>
      <c r="P48" s="45" t="str">
        <f t="shared" si="11"/>
        <v/>
      </c>
      <c r="Q48" s="47"/>
      <c r="R48" s="48"/>
      <c r="S48" s="1"/>
      <c r="T48" s="1"/>
      <c r="U48" s="1"/>
      <c r="V48" s="1"/>
      <c r="W48" s="1"/>
      <c r="X48" s="1"/>
      <c r="Y48" s="1"/>
      <c r="Z48" s="1"/>
    </row>
    <row r="49" spans="1:26" ht="15.05">
      <c r="A49" s="28">
        <f t="shared" si="6"/>
        <v>45</v>
      </c>
      <c r="B49" s="39"/>
      <c r="C49" s="40"/>
      <c r="D49" s="41"/>
      <c r="E49" s="41"/>
      <c r="F49" s="42" t="str">
        <f t="shared" si="7"/>
        <v/>
      </c>
      <c r="G49" s="43"/>
      <c r="H49" s="44" t="str">
        <f>IF(G49&lt;&gt;"",G49,IFERROR(VLOOKUP(C49,'Purity &amp; Rates'!$A$11:$B$16,2,FALSE),""))</f>
        <v/>
      </c>
      <c r="I49" s="42" t="str">
        <f t="shared" si="8"/>
        <v/>
      </c>
      <c r="J49" s="45" t="str">
        <f>IF(I49="","",I49*'Purity &amp; Rates'!$B$4/'Purity &amp; Rates'!$B$7)</f>
        <v/>
      </c>
      <c r="K49" s="45" t="str">
        <f>IF(J49="","",J49*'Purity &amp; Rates'!$B$5)</f>
        <v/>
      </c>
      <c r="L49" s="45" t="str">
        <f>IF(J49="","",J49*'Purity &amp; Rates'!$B$6)</f>
        <v/>
      </c>
      <c r="M49" s="46"/>
      <c r="N49" s="45" t="str">
        <f t="shared" si="9"/>
        <v/>
      </c>
      <c r="O49" s="44" t="str">
        <f t="shared" si="10"/>
        <v/>
      </c>
      <c r="P49" s="45" t="str">
        <f t="shared" si="11"/>
        <v/>
      </c>
      <c r="Q49" s="47"/>
      <c r="R49" s="48"/>
      <c r="S49" s="1"/>
      <c r="T49" s="1"/>
      <c r="U49" s="1"/>
      <c r="V49" s="1"/>
      <c r="W49" s="1"/>
      <c r="X49" s="1"/>
      <c r="Y49" s="1"/>
      <c r="Z49" s="1"/>
    </row>
    <row r="50" spans="1:26" ht="15.05">
      <c r="A50" s="28">
        <f t="shared" si="6"/>
        <v>46</v>
      </c>
      <c r="B50" s="39"/>
      <c r="C50" s="40"/>
      <c r="D50" s="41"/>
      <c r="E50" s="41"/>
      <c r="F50" s="42" t="str">
        <f t="shared" si="7"/>
        <v/>
      </c>
      <c r="G50" s="43"/>
      <c r="H50" s="44" t="str">
        <f>IF(G50&lt;&gt;"",G50,IFERROR(VLOOKUP(C50,'Purity &amp; Rates'!$A$11:$B$16,2,FALSE),""))</f>
        <v/>
      </c>
      <c r="I50" s="42" t="str">
        <f t="shared" si="8"/>
        <v/>
      </c>
      <c r="J50" s="45" t="str">
        <f>IF(I50="","",I50*'Purity &amp; Rates'!$B$4/'Purity &amp; Rates'!$B$7)</f>
        <v/>
      </c>
      <c r="K50" s="45" t="str">
        <f>IF(J50="","",J50*'Purity &amp; Rates'!$B$5)</f>
        <v/>
      </c>
      <c r="L50" s="45" t="str">
        <f>IF(J50="","",J50*'Purity &amp; Rates'!$B$6)</f>
        <v/>
      </c>
      <c r="M50" s="46"/>
      <c r="N50" s="45" t="str">
        <f t="shared" si="9"/>
        <v/>
      </c>
      <c r="O50" s="44" t="str">
        <f t="shared" si="10"/>
        <v/>
      </c>
      <c r="P50" s="45" t="str">
        <f t="shared" si="11"/>
        <v/>
      </c>
      <c r="Q50" s="47"/>
      <c r="R50" s="48"/>
      <c r="S50" s="1"/>
      <c r="T50" s="1"/>
      <c r="U50" s="1"/>
      <c r="V50" s="1"/>
      <c r="W50" s="1"/>
      <c r="X50" s="1"/>
      <c r="Y50" s="1"/>
      <c r="Z50" s="1"/>
    </row>
    <row r="51" spans="1:26" ht="15.05">
      <c r="A51" s="28">
        <f t="shared" si="6"/>
        <v>47</v>
      </c>
      <c r="B51" s="39"/>
      <c r="C51" s="40"/>
      <c r="D51" s="41"/>
      <c r="E51" s="41"/>
      <c r="F51" s="42" t="str">
        <f t="shared" si="7"/>
        <v/>
      </c>
      <c r="G51" s="43"/>
      <c r="H51" s="44" t="str">
        <f>IF(G51&lt;&gt;"",G51,IFERROR(VLOOKUP(C51,'Purity &amp; Rates'!$A$11:$B$16,2,FALSE),""))</f>
        <v/>
      </c>
      <c r="I51" s="42" t="str">
        <f t="shared" si="8"/>
        <v/>
      </c>
      <c r="J51" s="45" t="str">
        <f>IF(I51="","",I51*'Purity &amp; Rates'!$B$4/'Purity &amp; Rates'!$B$7)</f>
        <v/>
      </c>
      <c r="K51" s="45" t="str">
        <f>IF(J51="","",J51*'Purity &amp; Rates'!$B$5)</f>
        <v/>
      </c>
      <c r="L51" s="45" t="str">
        <f>IF(J51="","",J51*'Purity &amp; Rates'!$B$6)</f>
        <v/>
      </c>
      <c r="M51" s="46"/>
      <c r="N51" s="45" t="str">
        <f t="shared" si="9"/>
        <v/>
      </c>
      <c r="O51" s="44" t="str">
        <f t="shared" si="10"/>
        <v/>
      </c>
      <c r="P51" s="45" t="str">
        <f t="shared" si="11"/>
        <v/>
      </c>
      <c r="Q51" s="47"/>
      <c r="R51" s="48"/>
      <c r="S51" s="1"/>
      <c r="T51" s="1"/>
      <c r="U51" s="1"/>
      <c r="V51" s="1"/>
      <c r="W51" s="1"/>
      <c r="X51" s="1"/>
      <c r="Y51" s="1"/>
      <c r="Z51" s="1"/>
    </row>
    <row r="52" spans="1:26" ht="15.05">
      <c r="A52" s="28">
        <f t="shared" si="6"/>
        <v>48</v>
      </c>
      <c r="B52" s="39"/>
      <c r="C52" s="40"/>
      <c r="D52" s="41"/>
      <c r="E52" s="41"/>
      <c r="F52" s="42" t="str">
        <f t="shared" si="7"/>
        <v/>
      </c>
      <c r="G52" s="43"/>
      <c r="H52" s="44" t="str">
        <f>IF(G52&lt;&gt;"",G52,IFERROR(VLOOKUP(C52,'Purity &amp; Rates'!$A$11:$B$16,2,FALSE),""))</f>
        <v/>
      </c>
      <c r="I52" s="42" t="str">
        <f t="shared" si="8"/>
        <v/>
      </c>
      <c r="J52" s="45" t="str">
        <f>IF(I52="","",I52*'Purity &amp; Rates'!$B$4/'Purity &amp; Rates'!$B$7)</f>
        <v/>
      </c>
      <c r="K52" s="45" t="str">
        <f>IF(J52="","",J52*'Purity &amp; Rates'!$B$5)</f>
        <v/>
      </c>
      <c r="L52" s="45" t="str">
        <f>IF(J52="","",J52*'Purity &amp; Rates'!$B$6)</f>
        <v/>
      </c>
      <c r="M52" s="46"/>
      <c r="N52" s="45" t="str">
        <f t="shared" si="9"/>
        <v/>
      </c>
      <c r="O52" s="44" t="str">
        <f t="shared" si="10"/>
        <v/>
      </c>
      <c r="P52" s="45" t="str">
        <f t="shared" si="11"/>
        <v/>
      </c>
      <c r="Q52" s="47"/>
      <c r="R52" s="48"/>
      <c r="S52" s="1"/>
      <c r="T52" s="1"/>
      <c r="U52" s="1"/>
      <c r="V52" s="1"/>
      <c r="W52" s="1"/>
      <c r="X52" s="1"/>
      <c r="Y52" s="1"/>
      <c r="Z52" s="1"/>
    </row>
    <row r="53" spans="1:26" ht="15.05">
      <c r="A53" s="28">
        <f t="shared" si="6"/>
        <v>49</v>
      </c>
      <c r="B53" s="39"/>
      <c r="C53" s="40"/>
      <c r="D53" s="41"/>
      <c r="E53" s="41"/>
      <c r="F53" s="42" t="str">
        <f t="shared" si="7"/>
        <v/>
      </c>
      <c r="G53" s="43"/>
      <c r="H53" s="44" t="str">
        <f>IF(G53&lt;&gt;"",G53,IFERROR(VLOOKUP(C53,'Purity &amp; Rates'!$A$11:$B$16,2,FALSE),""))</f>
        <v/>
      </c>
      <c r="I53" s="42" t="str">
        <f t="shared" si="8"/>
        <v/>
      </c>
      <c r="J53" s="45" t="str">
        <f>IF(I53="","",I53*'Purity &amp; Rates'!$B$4/'Purity &amp; Rates'!$B$7)</f>
        <v/>
      </c>
      <c r="K53" s="45" t="str">
        <f>IF(J53="","",J53*'Purity &amp; Rates'!$B$5)</f>
        <v/>
      </c>
      <c r="L53" s="45" t="str">
        <f>IF(J53="","",J53*'Purity &amp; Rates'!$B$6)</f>
        <v/>
      </c>
      <c r="M53" s="46"/>
      <c r="N53" s="45" t="str">
        <f t="shared" si="9"/>
        <v/>
      </c>
      <c r="O53" s="44" t="str">
        <f t="shared" si="10"/>
        <v/>
      </c>
      <c r="P53" s="45" t="str">
        <f t="shared" si="11"/>
        <v/>
      </c>
      <c r="Q53" s="47"/>
      <c r="R53" s="48"/>
      <c r="S53" s="1"/>
      <c r="T53" s="1"/>
      <c r="U53" s="1"/>
      <c r="V53" s="1"/>
      <c r="W53" s="1"/>
      <c r="X53" s="1"/>
      <c r="Y53" s="1"/>
      <c r="Z53" s="1"/>
    </row>
    <row r="54" spans="1:26" ht="15.05">
      <c r="A54" s="28">
        <f t="shared" si="6"/>
        <v>50</v>
      </c>
      <c r="B54" s="39"/>
      <c r="C54" s="40"/>
      <c r="D54" s="41"/>
      <c r="E54" s="41"/>
      <c r="F54" s="42" t="str">
        <f t="shared" si="7"/>
        <v/>
      </c>
      <c r="G54" s="43"/>
      <c r="H54" s="44" t="str">
        <f>IF(G54&lt;&gt;"",G54,IFERROR(VLOOKUP(C54,'Purity &amp; Rates'!$A$11:$B$16,2,FALSE),""))</f>
        <v/>
      </c>
      <c r="I54" s="42" t="str">
        <f t="shared" si="8"/>
        <v/>
      </c>
      <c r="J54" s="45" t="str">
        <f>IF(I54="","",I54*'Purity &amp; Rates'!$B$4/'Purity &amp; Rates'!$B$7)</f>
        <v/>
      </c>
      <c r="K54" s="45" t="str">
        <f>IF(J54="","",J54*'Purity &amp; Rates'!$B$5)</f>
        <v/>
      </c>
      <c r="L54" s="45" t="str">
        <f>IF(J54="","",J54*'Purity &amp; Rates'!$B$6)</f>
        <v/>
      </c>
      <c r="M54" s="46"/>
      <c r="N54" s="45" t="str">
        <f t="shared" si="9"/>
        <v/>
      </c>
      <c r="O54" s="44" t="str">
        <f t="shared" si="10"/>
        <v/>
      </c>
      <c r="P54" s="45" t="str">
        <f t="shared" si="11"/>
        <v/>
      </c>
      <c r="Q54" s="47"/>
      <c r="R54" s="48"/>
      <c r="S54" s="1"/>
      <c r="T54" s="1"/>
      <c r="U54" s="1"/>
      <c r="V54" s="1"/>
      <c r="W54" s="1"/>
      <c r="X54" s="1"/>
      <c r="Y54" s="1"/>
      <c r="Z54" s="1"/>
    </row>
    <row r="55" spans="1:26" ht="15.05">
      <c r="A55" s="28">
        <f t="shared" si="6"/>
        <v>51</v>
      </c>
      <c r="B55" s="39"/>
      <c r="C55" s="40"/>
      <c r="D55" s="41"/>
      <c r="E55" s="41"/>
      <c r="F55" s="42" t="str">
        <f t="shared" si="7"/>
        <v/>
      </c>
      <c r="G55" s="43"/>
      <c r="H55" s="44" t="str">
        <f>IF(G55&lt;&gt;"",G55,IFERROR(VLOOKUP(C55,'Purity &amp; Rates'!$A$11:$B$16,2,FALSE),""))</f>
        <v/>
      </c>
      <c r="I55" s="42" t="str">
        <f t="shared" si="8"/>
        <v/>
      </c>
      <c r="J55" s="45" t="str">
        <f>IF(I55="","",I55*'Purity &amp; Rates'!$B$4/'Purity &amp; Rates'!$B$7)</f>
        <v/>
      </c>
      <c r="K55" s="45" t="str">
        <f>IF(J55="","",J55*'Purity &amp; Rates'!$B$5)</f>
        <v/>
      </c>
      <c r="L55" s="45" t="str">
        <f>IF(J55="","",J55*'Purity &amp; Rates'!$B$6)</f>
        <v/>
      </c>
      <c r="M55" s="46"/>
      <c r="N55" s="45" t="str">
        <f t="shared" si="9"/>
        <v/>
      </c>
      <c r="O55" s="44" t="str">
        <f t="shared" si="10"/>
        <v/>
      </c>
      <c r="P55" s="45" t="str">
        <f t="shared" si="11"/>
        <v/>
      </c>
      <c r="Q55" s="47"/>
      <c r="R55" s="48"/>
      <c r="S55" s="1"/>
      <c r="T55" s="1"/>
      <c r="U55" s="1"/>
      <c r="V55" s="1"/>
      <c r="W55" s="1"/>
      <c r="X55" s="1"/>
      <c r="Y55" s="1"/>
      <c r="Z55" s="1"/>
    </row>
    <row r="56" spans="1:26" ht="15.05">
      <c r="A56" s="28">
        <f t="shared" si="6"/>
        <v>52</v>
      </c>
      <c r="B56" s="39"/>
      <c r="C56" s="40"/>
      <c r="D56" s="41"/>
      <c r="E56" s="41"/>
      <c r="F56" s="42" t="str">
        <f t="shared" si="7"/>
        <v/>
      </c>
      <c r="G56" s="43"/>
      <c r="H56" s="44" t="str">
        <f>IF(G56&lt;&gt;"",G56,IFERROR(VLOOKUP(C56,'Purity &amp; Rates'!$A$11:$B$16,2,FALSE),""))</f>
        <v/>
      </c>
      <c r="I56" s="42" t="str">
        <f t="shared" si="8"/>
        <v/>
      </c>
      <c r="J56" s="45" t="str">
        <f>IF(I56="","",I56*'Purity &amp; Rates'!$B$4/'Purity &amp; Rates'!$B$7)</f>
        <v/>
      </c>
      <c r="K56" s="45" t="str">
        <f>IF(J56="","",J56*'Purity &amp; Rates'!$B$5)</f>
        <v/>
      </c>
      <c r="L56" s="45" t="str">
        <f>IF(J56="","",J56*'Purity &amp; Rates'!$B$6)</f>
        <v/>
      </c>
      <c r="M56" s="46"/>
      <c r="N56" s="45" t="str">
        <f t="shared" si="9"/>
        <v/>
      </c>
      <c r="O56" s="44" t="str">
        <f t="shared" si="10"/>
        <v/>
      </c>
      <c r="P56" s="45" t="str">
        <f t="shared" si="11"/>
        <v/>
      </c>
      <c r="Q56" s="47"/>
      <c r="R56" s="48"/>
      <c r="S56" s="1"/>
      <c r="T56" s="1"/>
      <c r="U56" s="1"/>
      <c r="V56" s="1"/>
      <c r="W56" s="1"/>
      <c r="X56" s="1"/>
      <c r="Y56" s="1"/>
      <c r="Z56" s="1"/>
    </row>
    <row r="57" spans="1:26" ht="15.05">
      <c r="A57" s="28">
        <f t="shared" si="6"/>
        <v>53</v>
      </c>
      <c r="B57" s="39"/>
      <c r="C57" s="40"/>
      <c r="D57" s="41"/>
      <c r="E57" s="41"/>
      <c r="F57" s="42" t="str">
        <f t="shared" si="7"/>
        <v/>
      </c>
      <c r="G57" s="43"/>
      <c r="H57" s="44" t="str">
        <f>IF(G57&lt;&gt;"",G57,IFERROR(VLOOKUP(C57,'Purity &amp; Rates'!$A$11:$B$16,2,FALSE),""))</f>
        <v/>
      </c>
      <c r="I57" s="42" t="str">
        <f t="shared" si="8"/>
        <v/>
      </c>
      <c r="J57" s="45" t="str">
        <f>IF(I57="","",I57*'Purity &amp; Rates'!$B$4/'Purity &amp; Rates'!$B$7)</f>
        <v/>
      </c>
      <c r="K57" s="45" t="str">
        <f>IF(J57="","",J57*'Purity &amp; Rates'!$B$5)</f>
        <v/>
      </c>
      <c r="L57" s="45" t="str">
        <f>IF(J57="","",J57*'Purity &amp; Rates'!$B$6)</f>
        <v/>
      </c>
      <c r="M57" s="46"/>
      <c r="N57" s="45" t="str">
        <f t="shared" si="9"/>
        <v/>
      </c>
      <c r="O57" s="44" t="str">
        <f t="shared" si="10"/>
        <v/>
      </c>
      <c r="P57" s="45" t="str">
        <f t="shared" si="11"/>
        <v/>
      </c>
      <c r="Q57" s="47"/>
      <c r="R57" s="48"/>
      <c r="S57" s="1"/>
      <c r="T57" s="1"/>
      <c r="U57" s="1"/>
      <c r="V57" s="1"/>
      <c r="W57" s="1"/>
      <c r="X57" s="1"/>
      <c r="Y57" s="1"/>
      <c r="Z57" s="1"/>
    </row>
    <row r="58" spans="1:26" ht="15.05">
      <c r="A58" s="28">
        <f t="shared" si="6"/>
        <v>54</v>
      </c>
      <c r="B58" s="39"/>
      <c r="C58" s="40"/>
      <c r="D58" s="41"/>
      <c r="E58" s="41"/>
      <c r="F58" s="42" t="str">
        <f t="shared" si="7"/>
        <v/>
      </c>
      <c r="G58" s="43"/>
      <c r="H58" s="44" t="str">
        <f>IF(G58&lt;&gt;"",G58,IFERROR(VLOOKUP(C58,'Purity &amp; Rates'!$A$11:$B$16,2,FALSE),""))</f>
        <v/>
      </c>
      <c r="I58" s="42" t="str">
        <f t="shared" si="8"/>
        <v/>
      </c>
      <c r="J58" s="45" t="str">
        <f>IF(I58="","",I58*'Purity &amp; Rates'!$B$4/'Purity &amp; Rates'!$B$7)</f>
        <v/>
      </c>
      <c r="K58" s="45" t="str">
        <f>IF(J58="","",J58*'Purity &amp; Rates'!$B$5)</f>
        <v/>
      </c>
      <c r="L58" s="45" t="str">
        <f>IF(J58="","",J58*'Purity &amp; Rates'!$B$6)</f>
        <v/>
      </c>
      <c r="M58" s="46"/>
      <c r="N58" s="45" t="str">
        <f t="shared" si="9"/>
        <v/>
      </c>
      <c r="O58" s="44" t="str">
        <f t="shared" si="10"/>
        <v/>
      </c>
      <c r="P58" s="45" t="str">
        <f t="shared" si="11"/>
        <v/>
      </c>
      <c r="Q58" s="47"/>
      <c r="R58" s="48"/>
      <c r="S58" s="1"/>
      <c r="T58" s="1"/>
      <c r="U58" s="1"/>
      <c r="V58" s="1"/>
      <c r="W58" s="1"/>
      <c r="X58" s="1"/>
      <c r="Y58" s="1"/>
      <c r="Z58" s="1"/>
    </row>
    <row r="59" spans="1:26" ht="15.05">
      <c r="A59" s="28">
        <f t="shared" si="6"/>
        <v>55</v>
      </c>
      <c r="B59" s="39"/>
      <c r="C59" s="40"/>
      <c r="D59" s="41"/>
      <c r="E59" s="41"/>
      <c r="F59" s="42" t="str">
        <f t="shared" si="7"/>
        <v/>
      </c>
      <c r="G59" s="43"/>
      <c r="H59" s="44" t="str">
        <f>IF(G59&lt;&gt;"",G59,IFERROR(VLOOKUP(C59,'Purity &amp; Rates'!$A$11:$B$16,2,FALSE),""))</f>
        <v/>
      </c>
      <c r="I59" s="42" t="str">
        <f t="shared" si="8"/>
        <v/>
      </c>
      <c r="J59" s="45" t="str">
        <f>IF(I59="","",I59*'Purity &amp; Rates'!$B$4/'Purity &amp; Rates'!$B$7)</f>
        <v/>
      </c>
      <c r="K59" s="45" t="str">
        <f>IF(J59="","",J59*'Purity &amp; Rates'!$B$5)</f>
        <v/>
      </c>
      <c r="L59" s="45" t="str">
        <f>IF(J59="","",J59*'Purity &amp; Rates'!$B$6)</f>
        <v/>
      </c>
      <c r="M59" s="46"/>
      <c r="N59" s="45" t="str">
        <f t="shared" si="9"/>
        <v/>
      </c>
      <c r="O59" s="44" t="str">
        <f t="shared" si="10"/>
        <v/>
      </c>
      <c r="P59" s="45" t="str">
        <f t="shared" si="11"/>
        <v/>
      </c>
      <c r="Q59" s="47"/>
      <c r="R59" s="48"/>
      <c r="S59" s="1"/>
      <c r="T59" s="1"/>
      <c r="U59" s="1"/>
      <c r="V59" s="1"/>
      <c r="W59" s="1"/>
      <c r="X59" s="1"/>
      <c r="Y59" s="1"/>
      <c r="Z59" s="1"/>
    </row>
    <row r="60" spans="1:26" ht="15.05">
      <c r="A60" s="28">
        <f t="shared" si="6"/>
        <v>56</v>
      </c>
      <c r="B60" s="39"/>
      <c r="C60" s="40"/>
      <c r="D60" s="41"/>
      <c r="E60" s="41"/>
      <c r="F60" s="42" t="str">
        <f t="shared" si="7"/>
        <v/>
      </c>
      <c r="G60" s="43"/>
      <c r="H60" s="44" t="str">
        <f>IF(G60&lt;&gt;"",G60,IFERROR(VLOOKUP(C60,'Purity &amp; Rates'!$A$11:$B$16,2,FALSE),""))</f>
        <v/>
      </c>
      <c r="I60" s="42" t="str">
        <f t="shared" si="8"/>
        <v/>
      </c>
      <c r="J60" s="45" t="str">
        <f>IF(I60="","",I60*'Purity &amp; Rates'!$B$4/'Purity &amp; Rates'!$B$7)</f>
        <v/>
      </c>
      <c r="K60" s="45" t="str">
        <f>IF(J60="","",J60*'Purity &amp; Rates'!$B$5)</f>
        <v/>
      </c>
      <c r="L60" s="45" t="str">
        <f>IF(J60="","",J60*'Purity &amp; Rates'!$B$6)</f>
        <v/>
      </c>
      <c r="M60" s="46"/>
      <c r="N60" s="45" t="str">
        <f t="shared" si="9"/>
        <v/>
      </c>
      <c r="O60" s="44" t="str">
        <f t="shared" si="10"/>
        <v/>
      </c>
      <c r="P60" s="45" t="str">
        <f t="shared" si="11"/>
        <v/>
      </c>
      <c r="Q60" s="47"/>
      <c r="R60" s="48"/>
      <c r="S60" s="1"/>
      <c r="T60" s="1"/>
      <c r="U60" s="1"/>
      <c r="V60" s="1"/>
      <c r="W60" s="1"/>
      <c r="X60" s="1"/>
      <c r="Y60" s="1"/>
      <c r="Z60" s="1"/>
    </row>
    <row r="61" spans="1:26" ht="15.05">
      <c r="A61" s="28">
        <f t="shared" si="6"/>
        <v>57</v>
      </c>
      <c r="B61" s="39"/>
      <c r="C61" s="40"/>
      <c r="D61" s="41"/>
      <c r="E61" s="41"/>
      <c r="F61" s="42" t="str">
        <f t="shared" si="7"/>
        <v/>
      </c>
      <c r="G61" s="43"/>
      <c r="H61" s="44" t="str">
        <f>IF(G61&lt;&gt;"",G61,IFERROR(VLOOKUP(C61,'Purity &amp; Rates'!$A$11:$B$16,2,FALSE),""))</f>
        <v/>
      </c>
      <c r="I61" s="42" t="str">
        <f t="shared" si="8"/>
        <v/>
      </c>
      <c r="J61" s="45" t="str">
        <f>IF(I61="","",I61*'Purity &amp; Rates'!$B$4/'Purity &amp; Rates'!$B$7)</f>
        <v/>
      </c>
      <c r="K61" s="45" t="str">
        <f>IF(J61="","",J61*'Purity &amp; Rates'!$B$5)</f>
        <v/>
      </c>
      <c r="L61" s="45" t="str">
        <f>IF(J61="","",J61*'Purity &amp; Rates'!$B$6)</f>
        <v/>
      </c>
      <c r="M61" s="46"/>
      <c r="N61" s="45" t="str">
        <f t="shared" si="9"/>
        <v/>
      </c>
      <c r="O61" s="44" t="str">
        <f t="shared" si="10"/>
        <v/>
      </c>
      <c r="P61" s="45" t="str">
        <f t="shared" si="11"/>
        <v/>
      </c>
      <c r="Q61" s="47"/>
      <c r="R61" s="48"/>
      <c r="S61" s="1"/>
      <c r="T61" s="1"/>
      <c r="U61" s="1"/>
      <c r="V61" s="1"/>
      <c r="W61" s="1"/>
      <c r="X61" s="1"/>
      <c r="Y61" s="1"/>
      <c r="Z61" s="1"/>
    </row>
    <row r="62" spans="1:26" ht="15.05">
      <c r="A62" s="28">
        <f t="shared" si="6"/>
        <v>58</v>
      </c>
      <c r="B62" s="39"/>
      <c r="C62" s="40"/>
      <c r="D62" s="41"/>
      <c r="E62" s="41"/>
      <c r="F62" s="42" t="str">
        <f t="shared" si="7"/>
        <v/>
      </c>
      <c r="G62" s="43"/>
      <c r="H62" s="44" t="str">
        <f>IF(G62&lt;&gt;"",G62,IFERROR(VLOOKUP(C62,'Purity &amp; Rates'!$A$11:$B$16,2,FALSE),""))</f>
        <v/>
      </c>
      <c r="I62" s="42" t="str">
        <f t="shared" si="8"/>
        <v/>
      </c>
      <c r="J62" s="45" t="str">
        <f>IF(I62="","",I62*'Purity &amp; Rates'!$B$4/'Purity &amp; Rates'!$B$7)</f>
        <v/>
      </c>
      <c r="K62" s="45" t="str">
        <f>IF(J62="","",J62*'Purity &amp; Rates'!$B$5)</f>
        <v/>
      </c>
      <c r="L62" s="45" t="str">
        <f>IF(J62="","",J62*'Purity &amp; Rates'!$B$6)</f>
        <v/>
      </c>
      <c r="M62" s="46"/>
      <c r="N62" s="45" t="str">
        <f t="shared" si="9"/>
        <v/>
      </c>
      <c r="O62" s="44" t="str">
        <f t="shared" si="10"/>
        <v/>
      </c>
      <c r="P62" s="45" t="str">
        <f t="shared" si="11"/>
        <v/>
      </c>
      <c r="Q62" s="47"/>
      <c r="R62" s="48"/>
      <c r="S62" s="1"/>
      <c r="T62" s="1"/>
      <c r="U62" s="1"/>
      <c r="V62" s="1"/>
      <c r="W62" s="1"/>
      <c r="X62" s="1"/>
      <c r="Y62" s="1"/>
      <c r="Z62" s="1"/>
    </row>
    <row r="63" spans="1:26" ht="15.05">
      <c r="A63" s="28">
        <f t="shared" si="6"/>
        <v>59</v>
      </c>
      <c r="B63" s="39"/>
      <c r="C63" s="40"/>
      <c r="D63" s="41"/>
      <c r="E63" s="41"/>
      <c r="F63" s="42" t="str">
        <f t="shared" si="7"/>
        <v/>
      </c>
      <c r="G63" s="43"/>
      <c r="H63" s="44" t="str">
        <f>IF(G63&lt;&gt;"",G63,IFERROR(VLOOKUP(C63,'Purity &amp; Rates'!$A$11:$B$16,2,FALSE),""))</f>
        <v/>
      </c>
      <c r="I63" s="42" t="str">
        <f t="shared" si="8"/>
        <v/>
      </c>
      <c r="J63" s="45" t="str">
        <f>IF(I63="","",I63*'Purity &amp; Rates'!$B$4/'Purity &amp; Rates'!$B$7)</f>
        <v/>
      </c>
      <c r="K63" s="45" t="str">
        <f>IF(J63="","",J63*'Purity &amp; Rates'!$B$5)</f>
        <v/>
      </c>
      <c r="L63" s="45" t="str">
        <f>IF(J63="","",J63*'Purity &amp; Rates'!$B$6)</f>
        <v/>
      </c>
      <c r="M63" s="46"/>
      <c r="N63" s="45" t="str">
        <f t="shared" si="9"/>
        <v/>
      </c>
      <c r="O63" s="44" t="str">
        <f t="shared" si="10"/>
        <v/>
      </c>
      <c r="P63" s="45" t="str">
        <f t="shared" si="11"/>
        <v/>
      </c>
      <c r="Q63" s="47"/>
      <c r="R63" s="48"/>
      <c r="S63" s="1"/>
      <c r="T63" s="1"/>
      <c r="U63" s="1"/>
      <c r="V63" s="1"/>
      <c r="W63" s="1"/>
      <c r="X63" s="1"/>
      <c r="Y63" s="1"/>
      <c r="Z63" s="1"/>
    </row>
    <row r="64" spans="1:26" ht="15.05">
      <c r="A64" s="28">
        <f t="shared" si="6"/>
        <v>60</v>
      </c>
      <c r="B64" s="39"/>
      <c r="C64" s="40"/>
      <c r="D64" s="41"/>
      <c r="E64" s="41"/>
      <c r="F64" s="42" t="str">
        <f t="shared" si="7"/>
        <v/>
      </c>
      <c r="G64" s="43"/>
      <c r="H64" s="44" t="str">
        <f>IF(G64&lt;&gt;"",G64,IFERROR(VLOOKUP(C64,'Purity &amp; Rates'!$A$11:$B$16,2,FALSE),""))</f>
        <v/>
      </c>
      <c r="I64" s="42" t="str">
        <f t="shared" si="8"/>
        <v/>
      </c>
      <c r="J64" s="45" t="str">
        <f>IF(I64="","",I64*'Purity &amp; Rates'!$B$4/'Purity &amp; Rates'!$B$7)</f>
        <v/>
      </c>
      <c r="K64" s="45" t="str">
        <f>IF(J64="","",J64*'Purity &amp; Rates'!$B$5)</f>
        <v/>
      </c>
      <c r="L64" s="45" t="str">
        <f>IF(J64="","",J64*'Purity &amp; Rates'!$B$6)</f>
        <v/>
      </c>
      <c r="M64" s="46"/>
      <c r="N64" s="45" t="str">
        <f t="shared" si="9"/>
        <v/>
      </c>
      <c r="O64" s="44" t="str">
        <f t="shared" si="10"/>
        <v/>
      </c>
      <c r="P64" s="45" t="str">
        <f t="shared" si="11"/>
        <v/>
      </c>
      <c r="Q64" s="47"/>
      <c r="R64" s="48"/>
      <c r="S64" s="1"/>
      <c r="T64" s="1"/>
      <c r="U64" s="1"/>
      <c r="V64" s="1"/>
      <c r="W64" s="1"/>
      <c r="X64" s="1"/>
      <c r="Y64" s="1"/>
      <c r="Z64" s="1"/>
    </row>
    <row r="65" spans="1:26" ht="15.05">
      <c r="A65" s="28">
        <f t="shared" si="6"/>
        <v>61</v>
      </c>
      <c r="B65" s="39"/>
      <c r="C65" s="40"/>
      <c r="D65" s="41"/>
      <c r="E65" s="41"/>
      <c r="F65" s="42" t="str">
        <f t="shared" si="7"/>
        <v/>
      </c>
      <c r="G65" s="43"/>
      <c r="H65" s="44" t="str">
        <f>IF(G65&lt;&gt;"",G65,IFERROR(VLOOKUP(C65,'Purity &amp; Rates'!$A$11:$B$16,2,FALSE),""))</f>
        <v/>
      </c>
      <c r="I65" s="42" t="str">
        <f t="shared" si="8"/>
        <v/>
      </c>
      <c r="J65" s="45" t="str">
        <f>IF(I65="","",I65*'Purity &amp; Rates'!$B$4/'Purity &amp; Rates'!$B$7)</f>
        <v/>
      </c>
      <c r="K65" s="45" t="str">
        <f>IF(J65="","",J65*'Purity &amp; Rates'!$B$5)</f>
        <v/>
      </c>
      <c r="L65" s="45" t="str">
        <f>IF(J65="","",J65*'Purity &amp; Rates'!$B$6)</f>
        <v/>
      </c>
      <c r="M65" s="46"/>
      <c r="N65" s="45" t="str">
        <f t="shared" si="9"/>
        <v/>
      </c>
      <c r="O65" s="44" t="str">
        <f t="shared" si="10"/>
        <v/>
      </c>
      <c r="P65" s="45" t="str">
        <f t="shared" si="11"/>
        <v/>
      </c>
      <c r="Q65" s="47"/>
      <c r="R65" s="48"/>
      <c r="S65" s="1"/>
      <c r="T65" s="1"/>
      <c r="U65" s="1"/>
      <c r="V65" s="1"/>
      <c r="W65" s="1"/>
      <c r="X65" s="1"/>
      <c r="Y65" s="1"/>
      <c r="Z65" s="1"/>
    </row>
    <row r="66" spans="1:26" ht="15.05">
      <c r="A66" s="28">
        <f t="shared" si="6"/>
        <v>62</v>
      </c>
      <c r="B66" s="39"/>
      <c r="C66" s="40"/>
      <c r="D66" s="41"/>
      <c r="E66" s="41"/>
      <c r="F66" s="42" t="str">
        <f t="shared" si="7"/>
        <v/>
      </c>
      <c r="G66" s="43"/>
      <c r="H66" s="44" t="str">
        <f>IF(G66&lt;&gt;"",G66,IFERROR(VLOOKUP(C66,'Purity &amp; Rates'!$A$11:$B$16,2,FALSE),""))</f>
        <v/>
      </c>
      <c r="I66" s="42" t="str">
        <f t="shared" si="8"/>
        <v/>
      </c>
      <c r="J66" s="45" t="str">
        <f>IF(I66="","",I66*'Purity &amp; Rates'!$B$4/'Purity &amp; Rates'!$B$7)</f>
        <v/>
      </c>
      <c r="K66" s="45" t="str">
        <f>IF(J66="","",J66*'Purity &amp; Rates'!$B$5)</f>
        <v/>
      </c>
      <c r="L66" s="45" t="str">
        <f>IF(J66="","",J66*'Purity &amp; Rates'!$B$6)</f>
        <v/>
      </c>
      <c r="M66" s="46"/>
      <c r="N66" s="45" t="str">
        <f t="shared" si="9"/>
        <v/>
      </c>
      <c r="O66" s="44" t="str">
        <f t="shared" si="10"/>
        <v/>
      </c>
      <c r="P66" s="45" t="str">
        <f t="shared" si="11"/>
        <v/>
      </c>
      <c r="Q66" s="47"/>
      <c r="R66" s="48"/>
      <c r="S66" s="1"/>
      <c r="T66" s="1"/>
      <c r="U66" s="1"/>
      <c r="V66" s="1"/>
      <c r="W66" s="1"/>
      <c r="X66" s="1"/>
      <c r="Y66" s="1"/>
      <c r="Z66" s="1"/>
    </row>
    <row r="67" spans="1:26" ht="15.05">
      <c r="A67" s="28">
        <f t="shared" si="6"/>
        <v>63</v>
      </c>
      <c r="B67" s="39"/>
      <c r="C67" s="40"/>
      <c r="D67" s="41"/>
      <c r="E67" s="41"/>
      <c r="F67" s="42" t="str">
        <f t="shared" si="7"/>
        <v/>
      </c>
      <c r="G67" s="43"/>
      <c r="H67" s="44" t="str">
        <f>IF(G67&lt;&gt;"",G67,IFERROR(VLOOKUP(C67,'Purity &amp; Rates'!$A$11:$B$16,2,FALSE),""))</f>
        <v/>
      </c>
      <c r="I67" s="42" t="str">
        <f t="shared" si="8"/>
        <v/>
      </c>
      <c r="J67" s="45" t="str">
        <f>IF(I67="","",I67*'Purity &amp; Rates'!$B$4/'Purity &amp; Rates'!$B$7)</f>
        <v/>
      </c>
      <c r="K67" s="45" t="str">
        <f>IF(J67="","",J67*'Purity &amp; Rates'!$B$5)</f>
        <v/>
      </c>
      <c r="L67" s="45" t="str">
        <f>IF(J67="","",J67*'Purity &amp; Rates'!$B$6)</f>
        <v/>
      </c>
      <c r="M67" s="46"/>
      <c r="N67" s="45" t="str">
        <f t="shared" si="9"/>
        <v/>
      </c>
      <c r="O67" s="44" t="str">
        <f t="shared" si="10"/>
        <v/>
      </c>
      <c r="P67" s="45" t="str">
        <f t="shared" si="11"/>
        <v/>
      </c>
      <c r="Q67" s="47"/>
      <c r="R67" s="48"/>
      <c r="S67" s="1"/>
      <c r="T67" s="1"/>
      <c r="U67" s="1"/>
      <c r="V67" s="1"/>
      <c r="W67" s="1"/>
      <c r="X67" s="1"/>
      <c r="Y67" s="1"/>
      <c r="Z67" s="1"/>
    </row>
    <row r="68" spans="1:26" ht="15.05">
      <c r="A68" s="28">
        <f t="shared" si="6"/>
        <v>64</v>
      </c>
      <c r="B68" s="39"/>
      <c r="C68" s="40"/>
      <c r="D68" s="41"/>
      <c r="E68" s="41"/>
      <c r="F68" s="42" t="str">
        <f t="shared" si="7"/>
        <v/>
      </c>
      <c r="G68" s="43"/>
      <c r="H68" s="44" t="str">
        <f>IF(G68&lt;&gt;"",G68,IFERROR(VLOOKUP(C68,'Purity &amp; Rates'!$A$11:$B$16,2,FALSE),""))</f>
        <v/>
      </c>
      <c r="I68" s="42" t="str">
        <f t="shared" si="8"/>
        <v/>
      </c>
      <c r="J68" s="45" t="str">
        <f>IF(I68="","",I68*'Purity &amp; Rates'!$B$4/'Purity &amp; Rates'!$B$7)</f>
        <v/>
      </c>
      <c r="K68" s="45" t="str">
        <f>IF(J68="","",J68*'Purity &amp; Rates'!$B$5)</f>
        <v/>
      </c>
      <c r="L68" s="45" t="str">
        <f>IF(J68="","",J68*'Purity &amp; Rates'!$B$6)</f>
        <v/>
      </c>
      <c r="M68" s="46"/>
      <c r="N68" s="45" t="str">
        <f t="shared" si="9"/>
        <v/>
      </c>
      <c r="O68" s="44" t="str">
        <f t="shared" si="10"/>
        <v/>
      </c>
      <c r="P68" s="45" t="str">
        <f t="shared" si="11"/>
        <v/>
      </c>
      <c r="Q68" s="47"/>
      <c r="R68" s="48"/>
      <c r="S68" s="1"/>
      <c r="T68" s="1"/>
      <c r="U68" s="1"/>
      <c r="V68" s="1"/>
      <c r="W68" s="1"/>
      <c r="X68" s="1"/>
      <c r="Y68" s="1"/>
      <c r="Z68" s="1"/>
    </row>
    <row r="69" spans="1:26" ht="15.05">
      <c r="A69" s="28">
        <f t="shared" ref="A69:A104" si="12">ROW()-4</f>
        <v>65</v>
      </c>
      <c r="B69" s="39"/>
      <c r="C69" s="40"/>
      <c r="D69" s="41"/>
      <c r="E69" s="41"/>
      <c r="F69" s="42" t="str">
        <f t="shared" ref="F69:F100" si="13">IF(D69="","",MAX(D69-IF(E69="",0,E69),0))</f>
        <v/>
      </c>
      <c r="G69" s="43"/>
      <c r="H69" s="44" t="str">
        <f>IF(G69&lt;&gt;"",G69,IFERROR(VLOOKUP(C69,'Purity &amp; Rates'!$A$11:$B$16,2,FALSE),""))</f>
        <v/>
      </c>
      <c r="I69" s="42" t="str">
        <f t="shared" ref="I69:I100" si="14">IF(OR(F69="",H69=""),"",F69*H69)</f>
        <v/>
      </c>
      <c r="J69" s="45" t="str">
        <f>IF(I69="","",I69*'Purity &amp; Rates'!$B$4/'Purity &amp; Rates'!$B$7)</f>
        <v/>
      </c>
      <c r="K69" s="45" t="str">
        <f>IF(J69="","",J69*'Purity &amp; Rates'!$B$5)</f>
        <v/>
      </c>
      <c r="L69" s="45" t="str">
        <f>IF(J69="","",J69*'Purity &amp; Rates'!$B$6)</f>
        <v/>
      </c>
      <c r="M69" s="46"/>
      <c r="N69" s="45" t="str">
        <f t="shared" ref="N69:N100" si="15">IF(OR(J69="",M69=""),"",J69-M69)</f>
        <v/>
      </c>
      <c r="O69" s="44" t="str">
        <f t="shared" ref="O69:O100" si="16">IF(OR(N69="",M69=0),"",N69/M69)</f>
        <v/>
      </c>
      <c r="P69" s="45" t="str">
        <f t="shared" ref="P69:P104" si="17">IF(OR(K69="",M69=""),"",K69-M69)</f>
        <v/>
      </c>
      <c r="Q69" s="47"/>
      <c r="R69" s="48"/>
      <c r="S69" s="1"/>
      <c r="T69" s="1"/>
      <c r="U69" s="1"/>
      <c r="V69" s="1"/>
      <c r="W69" s="1"/>
      <c r="X69" s="1"/>
      <c r="Y69" s="1"/>
      <c r="Z69" s="1"/>
    </row>
    <row r="70" spans="1:26" ht="15.05">
      <c r="A70" s="28">
        <f t="shared" si="12"/>
        <v>66</v>
      </c>
      <c r="B70" s="39"/>
      <c r="C70" s="40"/>
      <c r="D70" s="41"/>
      <c r="E70" s="41"/>
      <c r="F70" s="42" t="str">
        <f t="shared" si="13"/>
        <v/>
      </c>
      <c r="G70" s="43"/>
      <c r="H70" s="44" t="str">
        <f>IF(G70&lt;&gt;"",G70,IFERROR(VLOOKUP(C70,'Purity &amp; Rates'!$A$11:$B$16,2,FALSE),""))</f>
        <v/>
      </c>
      <c r="I70" s="42" t="str">
        <f t="shared" si="14"/>
        <v/>
      </c>
      <c r="J70" s="45" t="str">
        <f>IF(I70="","",I70*'Purity &amp; Rates'!$B$4/'Purity &amp; Rates'!$B$7)</f>
        <v/>
      </c>
      <c r="K70" s="45" t="str">
        <f>IF(J70="","",J70*'Purity &amp; Rates'!$B$5)</f>
        <v/>
      </c>
      <c r="L70" s="45" t="str">
        <f>IF(J70="","",J70*'Purity &amp; Rates'!$B$6)</f>
        <v/>
      </c>
      <c r="M70" s="46"/>
      <c r="N70" s="45" t="str">
        <f t="shared" si="15"/>
        <v/>
      </c>
      <c r="O70" s="44" t="str">
        <f t="shared" si="16"/>
        <v/>
      </c>
      <c r="P70" s="45" t="str">
        <f t="shared" si="17"/>
        <v/>
      </c>
      <c r="Q70" s="47"/>
      <c r="R70" s="48"/>
      <c r="S70" s="1"/>
      <c r="T70" s="1"/>
      <c r="U70" s="1"/>
      <c r="V70" s="1"/>
      <c r="W70" s="1"/>
      <c r="X70" s="1"/>
      <c r="Y70" s="1"/>
      <c r="Z70" s="1"/>
    </row>
    <row r="71" spans="1:26" ht="15.05">
      <c r="A71" s="28">
        <f t="shared" si="12"/>
        <v>67</v>
      </c>
      <c r="B71" s="39"/>
      <c r="C71" s="40"/>
      <c r="D71" s="41"/>
      <c r="E71" s="41"/>
      <c r="F71" s="42" t="str">
        <f t="shared" si="13"/>
        <v/>
      </c>
      <c r="G71" s="43"/>
      <c r="H71" s="44" t="str">
        <f>IF(G71&lt;&gt;"",G71,IFERROR(VLOOKUP(C71,'Purity &amp; Rates'!$A$11:$B$16,2,FALSE),""))</f>
        <v/>
      </c>
      <c r="I71" s="42" t="str">
        <f t="shared" si="14"/>
        <v/>
      </c>
      <c r="J71" s="45" t="str">
        <f>IF(I71="","",I71*'Purity &amp; Rates'!$B$4/'Purity &amp; Rates'!$B$7)</f>
        <v/>
      </c>
      <c r="K71" s="45" t="str">
        <f>IF(J71="","",J71*'Purity &amp; Rates'!$B$5)</f>
        <v/>
      </c>
      <c r="L71" s="45" t="str">
        <f>IF(J71="","",J71*'Purity &amp; Rates'!$B$6)</f>
        <v/>
      </c>
      <c r="M71" s="46"/>
      <c r="N71" s="45" t="str">
        <f t="shared" si="15"/>
        <v/>
      </c>
      <c r="O71" s="44" t="str">
        <f t="shared" si="16"/>
        <v/>
      </c>
      <c r="P71" s="45" t="str">
        <f t="shared" si="17"/>
        <v/>
      </c>
      <c r="Q71" s="47"/>
      <c r="R71" s="48"/>
      <c r="S71" s="1"/>
      <c r="T71" s="1"/>
      <c r="U71" s="1"/>
      <c r="V71" s="1"/>
      <c r="W71" s="1"/>
      <c r="X71" s="1"/>
      <c r="Y71" s="1"/>
      <c r="Z71" s="1"/>
    </row>
    <row r="72" spans="1:26" ht="15.05">
      <c r="A72" s="28">
        <f t="shared" si="12"/>
        <v>68</v>
      </c>
      <c r="B72" s="39"/>
      <c r="C72" s="40"/>
      <c r="D72" s="41"/>
      <c r="E72" s="41"/>
      <c r="F72" s="42" t="str">
        <f t="shared" si="13"/>
        <v/>
      </c>
      <c r="G72" s="43"/>
      <c r="H72" s="44" t="str">
        <f>IF(G72&lt;&gt;"",G72,IFERROR(VLOOKUP(C72,'Purity &amp; Rates'!$A$11:$B$16,2,FALSE),""))</f>
        <v/>
      </c>
      <c r="I72" s="42" t="str">
        <f t="shared" si="14"/>
        <v/>
      </c>
      <c r="J72" s="45" t="str">
        <f>IF(I72="","",I72*'Purity &amp; Rates'!$B$4/'Purity &amp; Rates'!$B$7)</f>
        <v/>
      </c>
      <c r="K72" s="45" t="str">
        <f>IF(J72="","",J72*'Purity &amp; Rates'!$B$5)</f>
        <v/>
      </c>
      <c r="L72" s="45" t="str">
        <f>IF(J72="","",J72*'Purity &amp; Rates'!$B$6)</f>
        <v/>
      </c>
      <c r="M72" s="46"/>
      <c r="N72" s="45" t="str">
        <f t="shared" si="15"/>
        <v/>
      </c>
      <c r="O72" s="44" t="str">
        <f t="shared" si="16"/>
        <v/>
      </c>
      <c r="P72" s="45" t="str">
        <f t="shared" si="17"/>
        <v/>
      </c>
      <c r="Q72" s="47"/>
      <c r="R72" s="48"/>
      <c r="S72" s="1"/>
      <c r="T72" s="1"/>
      <c r="U72" s="1"/>
      <c r="V72" s="1"/>
      <c r="W72" s="1"/>
      <c r="X72" s="1"/>
      <c r="Y72" s="1"/>
      <c r="Z72" s="1"/>
    </row>
    <row r="73" spans="1:26" ht="15.05">
      <c r="A73" s="28">
        <f t="shared" si="12"/>
        <v>69</v>
      </c>
      <c r="B73" s="39"/>
      <c r="C73" s="40"/>
      <c r="D73" s="41"/>
      <c r="E73" s="41"/>
      <c r="F73" s="42" t="str">
        <f t="shared" si="13"/>
        <v/>
      </c>
      <c r="G73" s="43"/>
      <c r="H73" s="44" t="str">
        <f>IF(G73&lt;&gt;"",G73,IFERROR(VLOOKUP(C73,'Purity &amp; Rates'!$A$11:$B$16,2,FALSE),""))</f>
        <v/>
      </c>
      <c r="I73" s="42" t="str">
        <f t="shared" si="14"/>
        <v/>
      </c>
      <c r="J73" s="45" t="str">
        <f>IF(I73="","",I73*'Purity &amp; Rates'!$B$4/'Purity &amp; Rates'!$B$7)</f>
        <v/>
      </c>
      <c r="K73" s="45" t="str">
        <f>IF(J73="","",J73*'Purity &amp; Rates'!$B$5)</f>
        <v/>
      </c>
      <c r="L73" s="45" t="str">
        <f>IF(J73="","",J73*'Purity &amp; Rates'!$B$6)</f>
        <v/>
      </c>
      <c r="M73" s="46"/>
      <c r="N73" s="45" t="str">
        <f t="shared" si="15"/>
        <v/>
      </c>
      <c r="O73" s="44" t="str">
        <f t="shared" si="16"/>
        <v/>
      </c>
      <c r="P73" s="45" t="str">
        <f t="shared" si="17"/>
        <v/>
      </c>
      <c r="Q73" s="47"/>
      <c r="R73" s="48"/>
      <c r="S73" s="1"/>
      <c r="T73" s="1"/>
      <c r="U73" s="1"/>
      <c r="V73" s="1"/>
      <c r="W73" s="1"/>
      <c r="X73" s="1"/>
      <c r="Y73" s="1"/>
      <c r="Z73" s="1"/>
    </row>
    <row r="74" spans="1:26" ht="15.05">
      <c r="A74" s="28">
        <f t="shared" si="12"/>
        <v>70</v>
      </c>
      <c r="B74" s="39"/>
      <c r="C74" s="40"/>
      <c r="D74" s="41"/>
      <c r="E74" s="41"/>
      <c r="F74" s="42" t="str">
        <f t="shared" si="13"/>
        <v/>
      </c>
      <c r="G74" s="43"/>
      <c r="H74" s="44" t="str">
        <f>IF(G74&lt;&gt;"",G74,IFERROR(VLOOKUP(C74,'Purity &amp; Rates'!$A$11:$B$16,2,FALSE),""))</f>
        <v/>
      </c>
      <c r="I74" s="42" t="str">
        <f t="shared" si="14"/>
        <v/>
      </c>
      <c r="J74" s="45" t="str">
        <f>IF(I74="","",I74*'Purity &amp; Rates'!$B$4/'Purity &amp; Rates'!$B$7)</f>
        <v/>
      </c>
      <c r="K74" s="45" t="str">
        <f>IF(J74="","",J74*'Purity &amp; Rates'!$B$5)</f>
        <v/>
      </c>
      <c r="L74" s="45" t="str">
        <f>IF(J74="","",J74*'Purity &amp; Rates'!$B$6)</f>
        <v/>
      </c>
      <c r="M74" s="46"/>
      <c r="N74" s="45" t="str">
        <f t="shared" si="15"/>
        <v/>
      </c>
      <c r="O74" s="44" t="str">
        <f t="shared" si="16"/>
        <v/>
      </c>
      <c r="P74" s="45" t="str">
        <f t="shared" si="17"/>
        <v/>
      </c>
      <c r="Q74" s="47"/>
      <c r="R74" s="48"/>
      <c r="S74" s="1"/>
      <c r="T74" s="1"/>
      <c r="U74" s="1"/>
      <c r="V74" s="1"/>
      <c r="W74" s="1"/>
      <c r="X74" s="1"/>
      <c r="Y74" s="1"/>
      <c r="Z74" s="1"/>
    </row>
    <row r="75" spans="1:26" ht="15.05">
      <c r="A75" s="28">
        <f t="shared" si="12"/>
        <v>71</v>
      </c>
      <c r="B75" s="39"/>
      <c r="C75" s="40"/>
      <c r="D75" s="41"/>
      <c r="E75" s="41"/>
      <c r="F75" s="42" t="str">
        <f t="shared" si="13"/>
        <v/>
      </c>
      <c r="G75" s="43"/>
      <c r="H75" s="44" t="str">
        <f>IF(G75&lt;&gt;"",G75,IFERROR(VLOOKUP(C75,'Purity &amp; Rates'!$A$11:$B$16,2,FALSE),""))</f>
        <v/>
      </c>
      <c r="I75" s="42" t="str">
        <f t="shared" si="14"/>
        <v/>
      </c>
      <c r="J75" s="45" t="str">
        <f>IF(I75="","",I75*'Purity &amp; Rates'!$B$4/'Purity &amp; Rates'!$B$7)</f>
        <v/>
      </c>
      <c r="K75" s="45" t="str">
        <f>IF(J75="","",J75*'Purity &amp; Rates'!$B$5)</f>
        <v/>
      </c>
      <c r="L75" s="45" t="str">
        <f>IF(J75="","",J75*'Purity &amp; Rates'!$B$6)</f>
        <v/>
      </c>
      <c r="M75" s="46"/>
      <c r="N75" s="45" t="str">
        <f t="shared" si="15"/>
        <v/>
      </c>
      <c r="O75" s="44" t="str">
        <f t="shared" si="16"/>
        <v/>
      </c>
      <c r="P75" s="45" t="str">
        <f t="shared" si="17"/>
        <v/>
      </c>
      <c r="Q75" s="47"/>
      <c r="R75" s="48"/>
      <c r="S75" s="1"/>
      <c r="T75" s="1"/>
      <c r="U75" s="1"/>
      <c r="V75" s="1"/>
      <c r="W75" s="1"/>
      <c r="X75" s="1"/>
      <c r="Y75" s="1"/>
      <c r="Z75" s="1"/>
    </row>
    <row r="76" spans="1:26" ht="15.05">
      <c r="A76" s="28">
        <f t="shared" si="12"/>
        <v>72</v>
      </c>
      <c r="B76" s="39"/>
      <c r="C76" s="40"/>
      <c r="D76" s="41"/>
      <c r="E76" s="41"/>
      <c r="F76" s="42" t="str">
        <f t="shared" si="13"/>
        <v/>
      </c>
      <c r="G76" s="43"/>
      <c r="H76" s="44" t="str">
        <f>IF(G76&lt;&gt;"",G76,IFERROR(VLOOKUP(C76,'Purity &amp; Rates'!$A$11:$B$16,2,FALSE),""))</f>
        <v/>
      </c>
      <c r="I76" s="42" t="str">
        <f t="shared" si="14"/>
        <v/>
      </c>
      <c r="J76" s="45" t="str">
        <f>IF(I76="","",I76*'Purity &amp; Rates'!$B$4/'Purity &amp; Rates'!$B$7)</f>
        <v/>
      </c>
      <c r="K76" s="45" t="str">
        <f>IF(J76="","",J76*'Purity &amp; Rates'!$B$5)</f>
        <v/>
      </c>
      <c r="L76" s="45" t="str">
        <f>IF(J76="","",J76*'Purity &amp; Rates'!$B$6)</f>
        <v/>
      </c>
      <c r="M76" s="46"/>
      <c r="N76" s="45" t="str">
        <f t="shared" si="15"/>
        <v/>
      </c>
      <c r="O76" s="44" t="str">
        <f t="shared" si="16"/>
        <v/>
      </c>
      <c r="P76" s="45" t="str">
        <f t="shared" si="17"/>
        <v/>
      </c>
      <c r="Q76" s="47"/>
      <c r="R76" s="48"/>
      <c r="S76" s="1"/>
      <c r="T76" s="1"/>
      <c r="U76" s="1"/>
      <c r="V76" s="1"/>
      <c r="W76" s="1"/>
      <c r="X76" s="1"/>
      <c r="Y76" s="1"/>
      <c r="Z76" s="1"/>
    </row>
    <row r="77" spans="1:26" ht="15.05">
      <c r="A77" s="28">
        <f t="shared" si="12"/>
        <v>73</v>
      </c>
      <c r="B77" s="39"/>
      <c r="C77" s="40"/>
      <c r="D77" s="41"/>
      <c r="E77" s="41"/>
      <c r="F77" s="42" t="str">
        <f t="shared" si="13"/>
        <v/>
      </c>
      <c r="G77" s="43"/>
      <c r="H77" s="44" t="str">
        <f>IF(G77&lt;&gt;"",G77,IFERROR(VLOOKUP(C77,'Purity &amp; Rates'!$A$11:$B$16,2,FALSE),""))</f>
        <v/>
      </c>
      <c r="I77" s="42" t="str">
        <f t="shared" si="14"/>
        <v/>
      </c>
      <c r="J77" s="45" t="str">
        <f>IF(I77="","",I77*'Purity &amp; Rates'!$B$4/'Purity &amp; Rates'!$B$7)</f>
        <v/>
      </c>
      <c r="K77" s="45" t="str">
        <f>IF(J77="","",J77*'Purity &amp; Rates'!$B$5)</f>
        <v/>
      </c>
      <c r="L77" s="45" t="str">
        <f>IF(J77="","",J77*'Purity &amp; Rates'!$B$6)</f>
        <v/>
      </c>
      <c r="M77" s="46"/>
      <c r="N77" s="45" t="str">
        <f t="shared" si="15"/>
        <v/>
      </c>
      <c r="O77" s="44" t="str">
        <f t="shared" si="16"/>
        <v/>
      </c>
      <c r="P77" s="45" t="str">
        <f t="shared" si="17"/>
        <v/>
      </c>
      <c r="Q77" s="47"/>
      <c r="R77" s="48"/>
      <c r="S77" s="1"/>
      <c r="T77" s="1"/>
      <c r="U77" s="1"/>
      <c r="V77" s="1"/>
      <c r="W77" s="1"/>
      <c r="X77" s="1"/>
      <c r="Y77" s="1"/>
      <c r="Z77" s="1"/>
    </row>
    <row r="78" spans="1:26" ht="15.05">
      <c r="A78" s="28">
        <f t="shared" si="12"/>
        <v>74</v>
      </c>
      <c r="B78" s="39"/>
      <c r="C78" s="40"/>
      <c r="D78" s="41"/>
      <c r="E78" s="41"/>
      <c r="F78" s="42" t="str">
        <f t="shared" si="13"/>
        <v/>
      </c>
      <c r="G78" s="43"/>
      <c r="H78" s="44" t="str">
        <f>IF(G78&lt;&gt;"",G78,IFERROR(VLOOKUP(C78,'Purity &amp; Rates'!$A$11:$B$16,2,FALSE),""))</f>
        <v/>
      </c>
      <c r="I78" s="42" t="str">
        <f t="shared" si="14"/>
        <v/>
      </c>
      <c r="J78" s="45" t="str">
        <f>IF(I78="","",I78*'Purity &amp; Rates'!$B$4/'Purity &amp; Rates'!$B$7)</f>
        <v/>
      </c>
      <c r="K78" s="45" t="str">
        <f>IF(J78="","",J78*'Purity &amp; Rates'!$B$5)</f>
        <v/>
      </c>
      <c r="L78" s="45" t="str">
        <f>IF(J78="","",J78*'Purity &amp; Rates'!$B$6)</f>
        <v/>
      </c>
      <c r="M78" s="46"/>
      <c r="N78" s="45" t="str">
        <f t="shared" si="15"/>
        <v/>
      </c>
      <c r="O78" s="44" t="str">
        <f t="shared" si="16"/>
        <v/>
      </c>
      <c r="P78" s="45" t="str">
        <f t="shared" si="17"/>
        <v/>
      </c>
      <c r="Q78" s="47"/>
      <c r="R78" s="48"/>
      <c r="S78" s="1"/>
      <c r="T78" s="1"/>
      <c r="U78" s="1"/>
      <c r="V78" s="1"/>
      <c r="W78" s="1"/>
      <c r="X78" s="1"/>
      <c r="Y78" s="1"/>
      <c r="Z78" s="1"/>
    </row>
    <row r="79" spans="1:26" ht="15.05">
      <c r="A79" s="28">
        <f t="shared" si="12"/>
        <v>75</v>
      </c>
      <c r="B79" s="39"/>
      <c r="C79" s="40"/>
      <c r="D79" s="41"/>
      <c r="E79" s="41"/>
      <c r="F79" s="42" t="str">
        <f t="shared" si="13"/>
        <v/>
      </c>
      <c r="G79" s="43"/>
      <c r="H79" s="44" t="str">
        <f>IF(G79&lt;&gt;"",G79,IFERROR(VLOOKUP(C79,'Purity &amp; Rates'!$A$11:$B$16,2,FALSE),""))</f>
        <v/>
      </c>
      <c r="I79" s="42" t="str">
        <f t="shared" si="14"/>
        <v/>
      </c>
      <c r="J79" s="45" t="str">
        <f>IF(I79="","",I79*'Purity &amp; Rates'!$B$4/'Purity &amp; Rates'!$B$7)</f>
        <v/>
      </c>
      <c r="K79" s="45" t="str">
        <f>IF(J79="","",J79*'Purity &amp; Rates'!$B$5)</f>
        <v/>
      </c>
      <c r="L79" s="45" t="str">
        <f>IF(J79="","",J79*'Purity &amp; Rates'!$B$6)</f>
        <v/>
      </c>
      <c r="M79" s="46"/>
      <c r="N79" s="45" t="str">
        <f t="shared" si="15"/>
        <v/>
      </c>
      <c r="O79" s="44" t="str">
        <f t="shared" si="16"/>
        <v/>
      </c>
      <c r="P79" s="45" t="str">
        <f t="shared" si="17"/>
        <v/>
      </c>
      <c r="Q79" s="47"/>
      <c r="R79" s="48"/>
      <c r="S79" s="1"/>
      <c r="T79" s="1"/>
      <c r="U79" s="1"/>
      <c r="V79" s="1"/>
      <c r="W79" s="1"/>
      <c r="X79" s="1"/>
      <c r="Y79" s="1"/>
      <c r="Z79" s="1"/>
    </row>
    <row r="80" spans="1:26" ht="15.05">
      <c r="A80" s="28">
        <f t="shared" si="12"/>
        <v>76</v>
      </c>
      <c r="B80" s="39"/>
      <c r="C80" s="40"/>
      <c r="D80" s="41"/>
      <c r="E80" s="41"/>
      <c r="F80" s="42" t="str">
        <f t="shared" si="13"/>
        <v/>
      </c>
      <c r="G80" s="43"/>
      <c r="H80" s="44" t="str">
        <f>IF(G80&lt;&gt;"",G80,IFERROR(VLOOKUP(C80,'Purity &amp; Rates'!$A$11:$B$16,2,FALSE),""))</f>
        <v/>
      </c>
      <c r="I80" s="42" t="str">
        <f t="shared" si="14"/>
        <v/>
      </c>
      <c r="J80" s="45" t="str">
        <f>IF(I80="","",I80*'Purity &amp; Rates'!$B$4/'Purity &amp; Rates'!$B$7)</f>
        <v/>
      </c>
      <c r="K80" s="45" t="str">
        <f>IF(J80="","",J80*'Purity &amp; Rates'!$B$5)</f>
        <v/>
      </c>
      <c r="L80" s="45" t="str">
        <f>IF(J80="","",J80*'Purity &amp; Rates'!$B$6)</f>
        <v/>
      </c>
      <c r="M80" s="46"/>
      <c r="N80" s="45" t="str">
        <f t="shared" si="15"/>
        <v/>
      </c>
      <c r="O80" s="44" t="str">
        <f t="shared" si="16"/>
        <v/>
      </c>
      <c r="P80" s="45" t="str">
        <f t="shared" si="17"/>
        <v/>
      </c>
      <c r="Q80" s="47"/>
      <c r="R80" s="48"/>
      <c r="S80" s="1"/>
      <c r="T80" s="1"/>
      <c r="U80" s="1"/>
      <c r="V80" s="1"/>
      <c r="W80" s="1"/>
      <c r="X80" s="1"/>
      <c r="Y80" s="1"/>
      <c r="Z80" s="1"/>
    </row>
    <row r="81" spans="1:26" ht="15.05">
      <c r="A81" s="28">
        <f t="shared" si="12"/>
        <v>77</v>
      </c>
      <c r="B81" s="39"/>
      <c r="C81" s="40"/>
      <c r="D81" s="41"/>
      <c r="E81" s="41"/>
      <c r="F81" s="42" t="str">
        <f t="shared" si="13"/>
        <v/>
      </c>
      <c r="G81" s="43"/>
      <c r="H81" s="44" t="str">
        <f>IF(G81&lt;&gt;"",G81,IFERROR(VLOOKUP(C81,'Purity &amp; Rates'!$A$11:$B$16,2,FALSE),""))</f>
        <v/>
      </c>
      <c r="I81" s="42" t="str">
        <f t="shared" si="14"/>
        <v/>
      </c>
      <c r="J81" s="45" t="str">
        <f>IF(I81="","",I81*'Purity &amp; Rates'!$B$4/'Purity &amp; Rates'!$B$7)</f>
        <v/>
      </c>
      <c r="K81" s="45" t="str">
        <f>IF(J81="","",J81*'Purity &amp; Rates'!$B$5)</f>
        <v/>
      </c>
      <c r="L81" s="45" t="str">
        <f>IF(J81="","",J81*'Purity &amp; Rates'!$B$6)</f>
        <v/>
      </c>
      <c r="M81" s="46"/>
      <c r="N81" s="45" t="str">
        <f t="shared" si="15"/>
        <v/>
      </c>
      <c r="O81" s="44" t="str">
        <f t="shared" si="16"/>
        <v/>
      </c>
      <c r="P81" s="45" t="str">
        <f t="shared" si="17"/>
        <v/>
      </c>
      <c r="Q81" s="47"/>
      <c r="R81" s="48"/>
      <c r="S81" s="1"/>
      <c r="T81" s="1"/>
      <c r="U81" s="1"/>
      <c r="V81" s="1"/>
      <c r="W81" s="1"/>
      <c r="X81" s="1"/>
      <c r="Y81" s="1"/>
      <c r="Z81" s="1"/>
    </row>
    <row r="82" spans="1:26" ht="15.05">
      <c r="A82" s="28">
        <f t="shared" si="12"/>
        <v>78</v>
      </c>
      <c r="B82" s="39"/>
      <c r="C82" s="40"/>
      <c r="D82" s="41"/>
      <c r="E82" s="41"/>
      <c r="F82" s="42" t="str">
        <f t="shared" si="13"/>
        <v/>
      </c>
      <c r="G82" s="43"/>
      <c r="H82" s="44" t="str">
        <f>IF(G82&lt;&gt;"",G82,IFERROR(VLOOKUP(C82,'Purity &amp; Rates'!$A$11:$B$16,2,FALSE),""))</f>
        <v/>
      </c>
      <c r="I82" s="42" t="str">
        <f t="shared" si="14"/>
        <v/>
      </c>
      <c r="J82" s="45" t="str">
        <f>IF(I82="","",I82*'Purity &amp; Rates'!$B$4/'Purity &amp; Rates'!$B$7)</f>
        <v/>
      </c>
      <c r="K82" s="45" t="str">
        <f>IF(J82="","",J82*'Purity &amp; Rates'!$B$5)</f>
        <v/>
      </c>
      <c r="L82" s="45" t="str">
        <f>IF(J82="","",J82*'Purity &amp; Rates'!$B$6)</f>
        <v/>
      </c>
      <c r="M82" s="46"/>
      <c r="N82" s="45" t="str">
        <f t="shared" si="15"/>
        <v/>
      </c>
      <c r="O82" s="44" t="str">
        <f t="shared" si="16"/>
        <v/>
      </c>
      <c r="P82" s="45" t="str">
        <f t="shared" si="17"/>
        <v/>
      </c>
      <c r="Q82" s="47"/>
      <c r="R82" s="48"/>
      <c r="S82" s="1"/>
      <c r="T82" s="1"/>
      <c r="U82" s="1"/>
      <c r="V82" s="1"/>
      <c r="W82" s="1"/>
      <c r="X82" s="1"/>
      <c r="Y82" s="1"/>
      <c r="Z82" s="1"/>
    </row>
    <row r="83" spans="1:26" ht="15.05">
      <c r="A83" s="28">
        <f t="shared" si="12"/>
        <v>79</v>
      </c>
      <c r="B83" s="39"/>
      <c r="C83" s="40"/>
      <c r="D83" s="41"/>
      <c r="E83" s="41"/>
      <c r="F83" s="42" t="str">
        <f t="shared" si="13"/>
        <v/>
      </c>
      <c r="G83" s="43"/>
      <c r="H83" s="44" t="str">
        <f>IF(G83&lt;&gt;"",G83,IFERROR(VLOOKUP(C83,'Purity &amp; Rates'!$A$11:$B$16,2,FALSE),""))</f>
        <v/>
      </c>
      <c r="I83" s="42" t="str">
        <f t="shared" si="14"/>
        <v/>
      </c>
      <c r="J83" s="45" t="str">
        <f>IF(I83="","",I83*'Purity &amp; Rates'!$B$4/'Purity &amp; Rates'!$B$7)</f>
        <v/>
      </c>
      <c r="K83" s="45" t="str">
        <f>IF(J83="","",J83*'Purity &amp; Rates'!$B$5)</f>
        <v/>
      </c>
      <c r="L83" s="45" t="str">
        <f>IF(J83="","",J83*'Purity &amp; Rates'!$B$6)</f>
        <v/>
      </c>
      <c r="M83" s="46"/>
      <c r="N83" s="45" t="str">
        <f t="shared" si="15"/>
        <v/>
      </c>
      <c r="O83" s="44" t="str">
        <f t="shared" si="16"/>
        <v/>
      </c>
      <c r="P83" s="45" t="str">
        <f t="shared" si="17"/>
        <v/>
      </c>
      <c r="Q83" s="47"/>
      <c r="R83" s="48"/>
      <c r="S83" s="1"/>
      <c r="T83" s="1"/>
      <c r="U83" s="1"/>
      <c r="V83" s="1"/>
      <c r="W83" s="1"/>
      <c r="X83" s="1"/>
      <c r="Y83" s="1"/>
      <c r="Z83" s="1"/>
    </row>
    <row r="84" spans="1:26" ht="15.05">
      <c r="A84" s="28">
        <f t="shared" si="12"/>
        <v>80</v>
      </c>
      <c r="B84" s="39"/>
      <c r="C84" s="40"/>
      <c r="D84" s="41"/>
      <c r="E84" s="41"/>
      <c r="F84" s="42" t="str">
        <f t="shared" si="13"/>
        <v/>
      </c>
      <c r="G84" s="43"/>
      <c r="H84" s="44" t="str">
        <f>IF(G84&lt;&gt;"",G84,IFERROR(VLOOKUP(C84,'Purity &amp; Rates'!$A$11:$B$16,2,FALSE),""))</f>
        <v/>
      </c>
      <c r="I84" s="42" t="str">
        <f t="shared" si="14"/>
        <v/>
      </c>
      <c r="J84" s="45" t="str">
        <f>IF(I84="","",I84*'Purity &amp; Rates'!$B$4/'Purity &amp; Rates'!$B$7)</f>
        <v/>
      </c>
      <c r="K84" s="45" t="str">
        <f>IF(J84="","",J84*'Purity &amp; Rates'!$B$5)</f>
        <v/>
      </c>
      <c r="L84" s="45" t="str">
        <f>IF(J84="","",J84*'Purity &amp; Rates'!$B$6)</f>
        <v/>
      </c>
      <c r="M84" s="46"/>
      <c r="N84" s="45" t="str">
        <f t="shared" si="15"/>
        <v/>
      </c>
      <c r="O84" s="44" t="str">
        <f t="shared" si="16"/>
        <v/>
      </c>
      <c r="P84" s="45" t="str">
        <f t="shared" si="17"/>
        <v/>
      </c>
      <c r="Q84" s="47"/>
      <c r="R84" s="48"/>
      <c r="S84" s="1"/>
      <c r="T84" s="1"/>
      <c r="U84" s="1"/>
      <c r="V84" s="1"/>
      <c r="W84" s="1"/>
      <c r="X84" s="1"/>
      <c r="Y84" s="1"/>
      <c r="Z84" s="1"/>
    </row>
    <row r="85" spans="1:26" ht="15.05">
      <c r="A85" s="28">
        <f t="shared" si="12"/>
        <v>81</v>
      </c>
      <c r="B85" s="39"/>
      <c r="C85" s="40"/>
      <c r="D85" s="41"/>
      <c r="E85" s="41"/>
      <c r="F85" s="42" t="str">
        <f t="shared" si="13"/>
        <v/>
      </c>
      <c r="G85" s="43"/>
      <c r="H85" s="44" t="str">
        <f>IF(G85&lt;&gt;"",G85,IFERROR(VLOOKUP(C85,'Purity &amp; Rates'!$A$11:$B$16,2,FALSE),""))</f>
        <v/>
      </c>
      <c r="I85" s="42" t="str">
        <f t="shared" si="14"/>
        <v/>
      </c>
      <c r="J85" s="45" t="str">
        <f>IF(I85="","",I85*'Purity &amp; Rates'!$B$4/'Purity &amp; Rates'!$B$7)</f>
        <v/>
      </c>
      <c r="K85" s="45" t="str">
        <f>IF(J85="","",J85*'Purity &amp; Rates'!$B$5)</f>
        <v/>
      </c>
      <c r="L85" s="45" t="str">
        <f>IF(J85="","",J85*'Purity &amp; Rates'!$B$6)</f>
        <v/>
      </c>
      <c r="M85" s="46"/>
      <c r="N85" s="45" t="str">
        <f t="shared" si="15"/>
        <v/>
      </c>
      <c r="O85" s="44" t="str">
        <f t="shared" si="16"/>
        <v/>
      </c>
      <c r="P85" s="45" t="str">
        <f t="shared" si="17"/>
        <v/>
      </c>
      <c r="Q85" s="47"/>
      <c r="R85" s="48"/>
      <c r="S85" s="1"/>
      <c r="T85" s="1"/>
      <c r="U85" s="1"/>
      <c r="V85" s="1"/>
      <c r="W85" s="1"/>
      <c r="X85" s="1"/>
      <c r="Y85" s="1"/>
      <c r="Z85" s="1"/>
    </row>
    <row r="86" spans="1:26" ht="15.05">
      <c r="A86" s="28">
        <f t="shared" si="12"/>
        <v>82</v>
      </c>
      <c r="B86" s="39"/>
      <c r="C86" s="40"/>
      <c r="D86" s="41"/>
      <c r="E86" s="41"/>
      <c r="F86" s="42" t="str">
        <f t="shared" si="13"/>
        <v/>
      </c>
      <c r="G86" s="43"/>
      <c r="H86" s="44" t="str">
        <f>IF(G86&lt;&gt;"",G86,IFERROR(VLOOKUP(C86,'Purity &amp; Rates'!$A$11:$B$16,2,FALSE),""))</f>
        <v/>
      </c>
      <c r="I86" s="42" t="str">
        <f t="shared" si="14"/>
        <v/>
      </c>
      <c r="J86" s="45" t="str">
        <f>IF(I86="","",I86*'Purity &amp; Rates'!$B$4/'Purity &amp; Rates'!$B$7)</f>
        <v/>
      </c>
      <c r="K86" s="45" t="str">
        <f>IF(J86="","",J86*'Purity &amp; Rates'!$B$5)</f>
        <v/>
      </c>
      <c r="L86" s="45" t="str">
        <f>IF(J86="","",J86*'Purity &amp; Rates'!$B$6)</f>
        <v/>
      </c>
      <c r="M86" s="46"/>
      <c r="N86" s="45" t="str">
        <f t="shared" si="15"/>
        <v/>
      </c>
      <c r="O86" s="44" t="str">
        <f t="shared" si="16"/>
        <v/>
      </c>
      <c r="P86" s="45" t="str">
        <f t="shared" si="17"/>
        <v/>
      </c>
      <c r="Q86" s="47"/>
      <c r="R86" s="48"/>
      <c r="S86" s="1"/>
      <c r="T86" s="1"/>
      <c r="U86" s="1"/>
      <c r="V86" s="1"/>
      <c r="W86" s="1"/>
      <c r="X86" s="1"/>
      <c r="Y86" s="1"/>
      <c r="Z86" s="1"/>
    </row>
    <row r="87" spans="1:26" ht="15.05">
      <c r="A87" s="28">
        <f t="shared" si="12"/>
        <v>83</v>
      </c>
      <c r="B87" s="39"/>
      <c r="C87" s="40"/>
      <c r="D87" s="41"/>
      <c r="E87" s="41"/>
      <c r="F87" s="42" t="str">
        <f t="shared" si="13"/>
        <v/>
      </c>
      <c r="G87" s="43"/>
      <c r="H87" s="44" t="str">
        <f>IF(G87&lt;&gt;"",G87,IFERROR(VLOOKUP(C87,'Purity &amp; Rates'!$A$11:$B$16,2,FALSE),""))</f>
        <v/>
      </c>
      <c r="I87" s="42" t="str">
        <f t="shared" si="14"/>
        <v/>
      </c>
      <c r="J87" s="45" t="str">
        <f>IF(I87="","",I87*'Purity &amp; Rates'!$B$4/'Purity &amp; Rates'!$B$7)</f>
        <v/>
      </c>
      <c r="K87" s="45" t="str">
        <f>IF(J87="","",J87*'Purity &amp; Rates'!$B$5)</f>
        <v/>
      </c>
      <c r="L87" s="45" t="str">
        <f>IF(J87="","",J87*'Purity &amp; Rates'!$B$6)</f>
        <v/>
      </c>
      <c r="M87" s="46"/>
      <c r="N87" s="45" t="str">
        <f t="shared" si="15"/>
        <v/>
      </c>
      <c r="O87" s="44" t="str">
        <f t="shared" si="16"/>
        <v/>
      </c>
      <c r="P87" s="45" t="str">
        <f t="shared" si="17"/>
        <v/>
      </c>
      <c r="Q87" s="47"/>
      <c r="R87" s="48"/>
      <c r="S87" s="1"/>
      <c r="T87" s="1"/>
      <c r="U87" s="1"/>
      <c r="V87" s="1"/>
      <c r="W87" s="1"/>
      <c r="X87" s="1"/>
      <c r="Y87" s="1"/>
      <c r="Z87" s="1"/>
    </row>
    <row r="88" spans="1:26" ht="15.05">
      <c r="A88" s="28">
        <f t="shared" si="12"/>
        <v>84</v>
      </c>
      <c r="B88" s="39"/>
      <c r="C88" s="40"/>
      <c r="D88" s="41"/>
      <c r="E88" s="41"/>
      <c r="F88" s="42" t="str">
        <f t="shared" si="13"/>
        <v/>
      </c>
      <c r="G88" s="43"/>
      <c r="H88" s="44" t="str">
        <f>IF(G88&lt;&gt;"",G88,IFERROR(VLOOKUP(C88,'Purity &amp; Rates'!$A$11:$B$16,2,FALSE),""))</f>
        <v/>
      </c>
      <c r="I88" s="42" t="str">
        <f t="shared" si="14"/>
        <v/>
      </c>
      <c r="J88" s="45" t="str">
        <f>IF(I88="","",I88*'Purity &amp; Rates'!$B$4/'Purity &amp; Rates'!$B$7)</f>
        <v/>
      </c>
      <c r="K88" s="45" t="str">
        <f>IF(J88="","",J88*'Purity &amp; Rates'!$B$5)</f>
        <v/>
      </c>
      <c r="L88" s="45" t="str">
        <f>IF(J88="","",J88*'Purity &amp; Rates'!$B$6)</f>
        <v/>
      </c>
      <c r="M88" s="46"/>
      <c r="N88" s="45" t="str">
        <f t="shared" si="15"/>
        <v/>
      </c>
      <c r="O88" s="44" t="str">
        <f t="shared" si="16"/>
        <v/>
      </c>
      <c r="P88" s="45" t="str">
        <f t="shared" si="17"/>
        <v/>
      </c>
      <c r="Q88" s="47"/>
      <c r="R88" s="48"/>
      <c r="S88" s="1"/>
      <c r="T88" s="1"/>
      <c r="U88" s="1"/>
      <c r="V88" s="1"/>
      <c r="W88" s="1"/>
      <c r="X88" s="1"/>
      <c r="Y88" s="1"/>
      <c r="Z88" s="1"/>
    </row>
    <row r="89" spans="1:26" ht="15.05">
      <c r="A89" s="28">
        <f t="shared" si="12"/>
        <v>85</v>
      </c>
      <c r="B89" s="39"/>
      <c r="C89" s="40"/>
      <c r="D89" s="41"/>
      <c r="E89" s="41"/>
      <c r="F89" s="42" t="str">
        <f t="shared" si="13"/>
        <v/>
      </c>
      <c r="G89" s="43"/>
      <c r="H89" s="44" t="str">
        <f>IF(G89&lt;&gt;"",G89,IFERROR(VLOOKUP(C89,'Purity &amp; Rates'!$A$11:$B$16,2,FALSE),""))</f>
        <v/>
      </c>
      <c r="I89" s="42" t="str">
        <f t="shared" si="14"/>
        <v/>
      </c>
      <c r="J89" s="45" t="str">
        <f>IF(I89="","",I89*'Purity &amp; Rates'!$B$4/'Purity &amp; Rates'!$B$7)</f>
        <v/>
      </c>
      <c r="K89" s="45" t="str">
        <f>IF(J89="","",J89*'Purity &amp; Rates'!$B$5)</f>
        <v/>
      </c>
      <c r="L89" s="45" t="str">
        <f>IF(J89="","",J89*'Purity &amp; Rates'!$B$6)</f>
        <v/>
      </c>
      <c r="M89" s="46"/>
      <c r="N89" s="45" t="str">
        <f t="shared" si="15"/>
        <v/>
      </c>
      <c r="O89" s="44" t="str">
        <f t="shared" si="16"/>
        <v/>
      </c>
      <c r="P89" s="45" t="str">
        <f t="shared" si="17"/>
        <v/>
      </c>
      <c r="Q89" s="47"/>
      <c r="R89" s="48"/>
      <c r="S89" s="1"/>
      <c r="T89" s="1"/>
      <c r="U89" s="1"/>
      <c r="V89" s="1"/>
      <c r="W89" s="1"/>
      <c r="X89" s="1"/>
      <c r="Y89" s="1"/>
      <c r="Z89" s="1"/>
    </row>
    <row r="90" spans="1:26" ht="15.05">
      <c r="A90" s="28">
        <f t="shared" si="12"/>
        <v>86</v>
      </c>
      <c r="B90" s="39"/>
      <c r="C90" s="40"/>
      <c r="D90" s="41"/>
      <c r="E90" s="41"/>
      <c r="F90" s="42" t="str">
        <f t="shared" si="13"/>
        <v/>
      </c>
      <c r="G90" s="43"/>
      <c r="H90" s="44" t="str">
        <f>IF(G90&lt;&gt;"",G90,IFERROR(VLOOKUP(C90,'Purity &amp; Rates'!$A$11:$B$16,2,FALSE),""))</f>
        <v/>
      </c>
      <c r="I90" s="42" t="str">
        <f t="shared" si="14"/>
        <v/>
      </c>
      <c r="J90" s="45" t="str">
        <f>IF(I90="","",I90*'Purity &amp; Rates'!$B$4/'Purity &amp; Rates'!$B$7)</f>
        <v/>
      </c>
      <c r="K90" s="45" t="str">
        <f>IF(J90="","",J90*'Purity &amp; Rates'!$B$5)</f>
        <v/>
      </c>
      <c r="L90" s="45" t="str">
        <f>IF(J90="","",J90*'Purity &amp; Rates'!$B$6)</f>
        <v/>
      </c>
      <c r="M90" s="46"/>
      <c r="N90" s="45" t="str">
        <f t="shared" si="15"/>
        <v/>
      </c>
      <c r="O90" s="44" t="str">
        <f t="shared" si="16"/>
        <v/>
      </c>
      <c r="P90" s="45" t="str">
        <f t="shared" si="17"/>
        <v/>
      </c>
      <c r="Q90" s="47"/>
      <c r="R90" s="48"/>
      <c r="S90" s="1"/>
      <c r="T90" s="1"/>
      <c r="U90" s="1"/>
      <c r="V90" s="1"/>
      <c r="W90" s="1"/>
      <c r="X90" s="1"/>
      <c r="Y90" s="1"/>
      <c r="Z90" s="1"/>
    </row>
    <row r="91" spans="1:26" ht="15.05">
      <c r="A91" s="28">
        <f t="shared" si="12"/>
        <v>87</v>
      </c>
      <c r="B91" s="39"/>
      <c r="C91" s="40"/>
      <c r="D91" s="41"/>
      <c r="E91" s="41"/>
      <c r="F91" s="42" t="str">
        <f t="shared" si="13"/>
        <v/>
      </c>
      <c r="G91" s="43"/>
      <c r="H91" s="44" t="str">
        <f>IF(G91&lt;&gt;"",G91,IFERROR(VLOOKUP(C91,'Purity &amp; Rates'!$A$11:$B$16,2,FALSE),""))</f>
        <v/>
      </c>
      <c r="I91" s="42" t="str">
        <f t="shared" si="14"/>
        <v/>
      </c>
      <c r="J91" s="45" t="str">
        <f>IF(I91="","",I91*'Purity &amp; Rates'!$B$4/'Purity &amp; Rates'!$B$7)</f>
        <v/>
      </c>
      <c r="K91" s="45" t="str">
        <f>IF(J91="","",J91*'Purity &amp; Rates'!$B$5)</f>
        <v/>
      </c>
      <c r="L91" s="45" t="str">
        <f>IF(J91="","",J91*'Purity &amp; Rates'!$B$6)</f>
        <v/>
      </c>
      <c r="M91" s="46"/>
      <c r="N91" s="45" t="str">
        <f t="shared" si="15"/>
        <v/>
      </c>
      <c r="O91" s="44" t="str">
        <f t="shared" si="16"/>
        <v/>
      </c>
      <c r="P91" s="45" t="str">
        <f t="shared" si="17"/>
        <v/>
      </c>
      <c r="Q91" s="47"/>
      <c r="R91" s="48"/>
      <c r="S91" s="1"/>
      <c r="T91" s="1"/>
      <c r="U91" s="1"/>
      <c r="V91" s="1"/>
      <c r="W91" s="1"/>
      <c r="X91" s="1"/>
      <c r="Y91" s="1"/>
      <c r="Z91" s="1"/>
    </row>
    <row r="92" spans="1:26" ht="15.05">
      <c r="A92" s="28">
        <f t="shared" si="12"/>
        <v>88</v>
      </c>
      <c r="B92" s="39"/>
      <c r="C92" s="40"/>
      <c r="D92" s="41"/>
      <c r="E92" s="41"/>
      <c r="F92" s="42" t="str">
        <f t="shared" si="13"/>
        <v/>
      </c>
      <c r="G92" s="43"/>
      <c r="H92" s="44" t="str">
        <f>IF(G92&lt;&gt;"",G92,IFERROR(VLOOKUP(C92,'Purity &amp; Rates'!$A$11:$B$16,2,FALSE),""))</f>
        <v/>
      </c>
      <c r="I92" s="42" t="str">
        <f t="shared" si="14"/>
        <v/>
      </c>
      <c r="J92" s="45" t="str">
        <f>IF(I92="","",I92*'Purity &amp; Rates'!$B$4/'Purity &amp; Rates'!$B$7)</f>
        <v/>
      </c>
      <c r="K92" s="45" t="str">
        <f>IF(J92="","",J92*'Purity &amp; Rates'!$B$5)</f>
        <v/>
      </c>
      <c r="L92" s="45" t="str">
        <f>IF(J92="","",J92*'Purity &amp; Rates'!$B$6)</f>
        <v/>
      </c>
      <c r="M92" s="46"/>
      <c r="N92" s="45" t="str">
        <f t="shared" si="15"/>
        <v/>
      </c>
      <c r="O92" s="44" t="str">
        <f t="shared" si="16"/>
        <v/>
      </c>
      <c r="P92" s="45" t="str">
        <f t="shared" si="17"/>
        <v/>
      </c>
      <c r="Q92" s="47"/>
      <c r="R92" s="48"/>
      <c r="S92" s="1"/>
      <c r="T92" s="1"/>
      <c r="U92" s="1"/>
      <c r="V92" s="1"/>
      <c r="W92" s="1"/>
      <c r="X92" s="1"/>
      <c r="Y92" s="1"/>
      <c r="Z92" s="1"/>
    </row>
    <row r="93" spans="1:26" ht="15.05">
      <c r="A93" s="28">
        <f t="shared" si="12"/>
        <v>89</v>
      </c>
      <c r="B93" s="39"/>
      <c r="C93" s="40"/>
      <c r="D93" s="41"/>
      <c r="E93" s="41"/>
      <c r="F93" s="42" t="str">
        <f t="shared" si="13"/>
        <v/>
      </c>
      <c r="G93" s="43"/>
      <c r="H93" s="44" t="str">
        <f>IF(G93&lt;&gt;"",G93,IFERROR(VLOOKUP(C93,'Purity &amp; Rates'!$A$11:$B$16,2,FALSE),""))</f>
        <v/>
      </c>
      <c r="I93" s="42" t="str">
        <f t="shared" si="14"/>
        <v/>
      </c>
      <c r="J93" s="45" t="str">
        <f>IF(I93="","",I93*'Purity &amp; Rates'!$B$4/'Purity &amp; Rates'!$B$7)</f>
        <v/>
      </c>
      <c r="K93" s="45" t="str">
        <f>IF(J93="","",J93*'Purity &amp; Rates'!$B$5)</f>
        <v/>
      </c>
      <c r="L93" s="45" t="str">
        <f>IF(J93="","",J93*'Purity &amp; Rates'!$B$6)</f>
        <v/>
      </c>
      <c r="M93" s="46"/>
      <c r="N93" s="45" t="str">
        <f t="shared" si="15"/>
        <v/>
      </c>
      <c r="O93" s="44" t="str">
        <f t="shared" si="16"/>
        <v/>
      </c>
      <c r="P93" s="45" t="str">
        <f t="shared" si="17"/>
        <v/>
      </c>
      <c r="Q93" s="47"/>
      <c r="R93" s="48"/>
      <c r="S93" s="1"/>
      <c r="T93" s="1"/>
      <c r="U93" s="1"/>
      <c r="V93" s="1"/>
      <c r="W93" s="1"/>
      <c r="X93" s="1"/>
      <c r="Y93" s="1"/>
      <c r="Z93" s="1"/>
    </row>
    <row r="94" spans="1:26" ht="15.05">
      <c r="A94" s="28">
        <f t="shared" si="12"/>
        <v>90</v>
      </c>
      <c r="B94" s="39"/>
      <c r="C94" s="40"/>
      <c r="D94" s="41"/>
      <c r="E94" s="41"/>
      <c r="F94" s="42" t="str">
        <f t="shared" si="13"/>
        <v/>
      </c>
      <c r="G94" s="43"/>
      <c r="H94" s="44" t="str">
        <f>IF(G94&lt;&gt;"",G94,IFERROR(VLOOKUP(C94,'Purity &amp; Rates'!$A$11:$B$16,2,FALSE),""))</f>
        <v/>
      </c>
      <c r="I94" s="42" t="str">
        <f t="shared" si="14"/>
        <v/>
      </c>
      <c r="J94" s="45" t="str">
        <f>IF(I94="","",I94*'Purity &amp; Rates'!$B$4/'Purity &amp; Rates'!$B$7)</f>
        <v/>
      </c>
      <c r="K94" s="45" t="str">
        <f>IF(J94="","",J94*'Purity &amp; Rates'!$B$5)</f>
        <v/>
      </c>
      <c r="L94" s="45" t="str">
        <f>IF(J94="","",J94*'Purity &amp; Rates'!$B$6)</f>
        <v/>
      </c>
      <c r="M94" s="46"/>
      <c r="N94" s="45" t="str">
        <f t="shared" si="15"/>
        <v/>
      </c>
      <c r="O94" s="44" t="str">
        <f t="shared" si="16"/>
        <v/>
      </c>
      <c r="P94" s="45" t="str">
        <f t="shared" si="17"/>
        <v/>
      </c>
      <c r="Q94" s="47"/>
      <c r="R94" s="48"/>
      <c r="S94" s="1"/>
      <c r="T94" s="1"/>
      <c r="U94" s="1"/>
      <c r="V94" s="1"/>
      <c r="W94" s="1"/>
      <c r="X94" s="1"/>
      <c r="Y94" s="1"/>
      <c r="Z94" s="1"/>
    </row>
    <row r="95" spans="1:26" ht="15.05">
      <c r="A95" s="28">
        <f t="shared" si="12"/>
        <v>91</v>
      </c>
      <c r="B95" s="39"/>
      <c r="C95" s="40"/>
      <c r="D95" s="41"/>
      <c r="E95" s="41"/>
      <c r="F95" s="42" t="str">
        <f t="shared" si="13"/>
        <v/>
      </c>
      <c r="G95" s="43"/>
      <c r="H95" s="44" t="str">
        <f>IF(G95&lt;&gt;"",G95,IFERROR(VLOOKUP(C95,'Purity &amp; Rates'!$A$11:$B$16,2,FALSE),""))</f>
        <v/>
      </c>
      <c r="I95" s="42" t="str">
        <f t="shared" si="14"/>
        <v/>
      </c>
      <c r="J95" s="45" t="str">
        <f>IF(I95="","",I95*'Purity &amp; Rates'!$B$4/'Purity &amp; Rates'!$B$7)</f>
        <v/>
      </c>
      <c r="K95" s="45" t="str">
        <f>IF(J95="","",J95*'Purity &amp; Rates'!$B$5)</f>
        <v/>
      </c>
      <c r="L95" s="45" t="str">
        <f>IF(J95="","",J95*'Purity &amp; Rates'!$B$6)</f>
        <v/>
      </c>
      <c r="M95" s="46"/>
      <c r="N95" s="45" t="str">
        <f t="shared" si="15"/>
        <v/>
      </c>
      <c r="O95" s="44" t="str">
        <f t="shared" si="16"/>
        <v/>
      </c>
      <c r="P95" s="45" t="str">
        <f t="shared" si="17"/>
        <v/>
      </c>
      <c r="Q95" s="47"/>
      <c r="R95" s="48"/>
      <c r="S95" s="1"/>
      <c r="T95" s="1"/>
      <c r="U95" s="1"/>
      <c r="V95" s="1"/>
      <c r="W95" s="1"/>
      <c r="X95" s="1"/>
      <c r="Y95" s="1"/>
      <c r="Z95" s="1"/>
    </row>
    <row r="96" spans="1:26" ht="15.05">
      <c r="A96" s="28">
        <f t="shared" si="12"/>
        <v>92</v>
      </c>
      <c r="B96" s="39"/>
      <c r="C96" s="40"/>
      <c r="D96" s="41"/>
      <c r="E96" s="41"/>
      <c r="F96" s="42" t="str">
        <f t="shared" si="13"/>
        <v/>
      </c>
      <c r="G96" s="43"/>
      <c r="H96" s="44" t="str">
        <f>IF(G96&lt;&gt;"",G96,IFERROR(VLOOKUP(C96,'Purity &amp; Rates'!$A$11:$B$16,2,FALSE),""))</f>
        <v/>
      </c>
      <c r="I96" s="42" t="str">
        <f t="shared" si="14"/>
        <v/>
      </c>
      <c r="J96" s="45" t="str">
        <f>IF(I96="","",I96*'Purity &amp; Rates'!$B$4/'Purity &amp; Rates'!$B$7)</f>
        <v/>
      </c>
      <c r="K96" s="45" t="str">
        <f>IF(J96="","",J96*'Purity &amp; Rates'!$B$5)</f>
        <v/>
      </c>
      <c r="L96" s="45" t="str">
        <f>IF(J96="","",J96*'Purity &amp; Rates'!$B$6)</f>
        <v/>
      </c>
      <c r="M96" s="46"/>
      <c r="N96" s="45" t="str">
        <f t="shared" si="15"/>
        <v/>
      </c>
      <c r="O96" s="44" t="str">
        <f t="shared" si="16"/>
        <v/>
      </c>
      <c r="P96" s="45" t="str">
        <f t="shared" si="17"/>
        <v/>
      </c>
      <c r="Q96" s="47"/>
      <c r="R96" s="48"/>
      <c r="S96" s="1"/>
      <c r="T96" s="1"/>
      <c r="U96" s="1"/>
      <c r="V96" s="1"/>
      <c r="W96" s="1"/>
      <c r="X96" s="1"/>
      <c r="Y96" s="1"/>
      <c r="Z96" s="1"/>
    </row>
    <row r="97" spans="1:26" ht="15.05">
      <c r="A97" s="28">
        <f t="shared" si="12"/>
        <v>93</v>
      </c>
      <c r="B97" s="39"/>
      <c r="C97" s="40"/>
      <c r="D97" s="41"/>
      <c r="E97" s="41"/>
      <c r="F97" s="42" t="str">
        <f t="shared" si="13"/>
        <v/>
      </c>
      <c r="G97" s="43"/>
      <c r="H97" s="44" t="str">
        <f>IF(G97&lt;&gt;"",G97,IFERROR(VLOOKUP(C97,'Purity &amp; Rates'!$A$11:$B$16,2,FALSE),""))</f>
        <v/>
      </c>
      <c r="I97" s="42" t="str">
        <f t="shared" si="14"/>
        <v/>
      </c>
      <c r="J97" s="45" t="str">
        <f>IF(I97="","",I97*'Purity &amp; Rates'!$B$4/'Purity &amp; Rates'!$B$7)</f>
        <v/>
      </c>
      <c r="K97" s="45" t="str">
        <f>IF(J97="","",J97*'Purity &amp; Rates'!$B$5)</f>
        <v/>
      </c>
      <c r="L97" s="45" t="str">
        <f>IF(J97="","",J97*'Purity &amp; Rates'!$B$6)</f>
        <v/>
      </c>
      <c r="M97" s="46"/>
      <c r="N97" s="45" t="str">
        <f t="shared" si="15"/>
        <v/>
      </c>
      <c r="O97" s="44" t="str">
        <f t="shared" si="16"/>
        <v/>
      </c>
      <c r="P97" s="45" t="str">
        <f t="shared" si="17"/>
        <v/>
      </c>
      <c r="Q97" s="47"/>
      <c r="R97" s="48"/>
      <c r="S97" s="1"/>
      <c r="T97" s="1"/>
      <c r="U97" s="1"/>
      <c r="V97" s="1"/>
      <c r="W97" s="1"/>
      <c r="X97" s="1"/>
      <c r="Y97" s="1"/>
      <c r="Z97" s="1"/>
    </row>
    <row r="98" spans="1:26" ht="15.05">
      <c r="A98" s="28">
        <f t="shared" si="12"/>
        <v>94</v>
      </c>
      <c r="B98" s="39"/>
      <c r="C98" s="40"/>
      <c r="D98" s="41"/>
      <c r="E98" s="41"/>
      <c r="F98" s="42" t="str">
        <f t="shared" si="13"/>
        <v/>
      </c>
      <c r="G98" s="43"/>
      <c r="H98" s="44" t="str">
        <f>IF(G98&lt;&gt;"",G98,IFERROR(VLOOKUP(C98,'Purity &amp; Rates'!$A$11:$B$16,2,FALSE),""))</f>
        <v/>
      </c>
      <c r="I98" s="42" t="str">
        <f t="shared" si="14"/>
        <v/>
      </c>
      <c r="J98" s="45" t="str">
        <f>IF(I98="","",I98*'Purity &amp; Rates'!$B$4/'Purity &amp; Rates'!$B$7)</f>
        <v/>
      </c>
      <c r="K98" s="45" t="str">
        <f>IF(J98="","",J98*'Purity &amp; Rates'!$B$5)</f>
        <v/>
      </c>
      <c r="L98" s="45" t="str">
        <f>IF(J98="","",J98*'Purity &amp; Rates'!$B$6)</f>
        <v/>
      </c>
      <c r="M98" s="46"/>
      <c r="N98" s="45" t="str">
        <f t="shared" si="15"/>
        <v/>
      </c>
      <c r="O98" s="44" t="str">
        <f t="shared" si="16"/>
        <v/>
      </c>
      <c r="P98" s="45" t="str">
        <f t="shared" si="17"/>
        <v/>
      </c>
      <c r="Q98" s="47"/>
      <c r="R98" s="48"/>
      <c r="S98" s="1"/>
      <c r="T98" s="1"/>
      <c r="U98" s="1"/>
      <c r="V98" s="1"/>
      <c r="W98" s="1"/>
      <c r="X98" s="1"/>
      <c r="Y98" s="1"/>
      <c r="Z98" s="1"/>
    </row>
    <row r="99" spans="1:26" ht="15.05">
      <c r="A99" s="28">
        <f t="shared" si="12"/>
        <v>95</v>
      </c>
      <c r="B99" s="39"/>
      <c r="C99" s="40"/>
      <c r="D99" s="41"/>
      <c r="E99" s="41"/>
      <c r="F99" s="42" t="str">
        <f t="shared" si="13"/>
        <v/>
      </c>
      <c r="G99" s="43"/>
      <c r="H99" s="44" t="str">
        <f>IF(G99&lt;&gt;"",G99,IFERROR(VLOOKUP(C99,'Purity &amp; Rates'!$A$11:$B$16,2,FALSE),""))</f>
        <v/>
      </c>
      <c r="I99" s="42" t="str">
        <f t="shared" si="14"/>
        <v/>
      </c>
      <c r="J99" s="45" t="str">
        <f>IF(I99="","",I99*'Purity &amp; Rates'!$B$4/'Purity &amp; Rates'!$B$7)</f>
        <v/>
      </c>
      <c r="K99" s="45" t="str">
        <f>IF(J99="","",J99*'Purity &amp; Rates'!$B$5)</f>
        <v/>
      </c>
      <c r="L99" s="45" t="str">
        <f>IF(J99="","",J99*'Purity &amp; Rates'!$B$6)</f>
        <v/>
      </c>
      <c r="M99" s="46"/>
      <c r="N99" s="45" t="str">
        <f t="shared" si="15"/>
        <v/>
      </c>
      <c r="O99" s="44" t="str">
        <f t="shared" si="16"/>
        <v/>
      </c>
      <c r="P99" s="45" t="str">
        <f t="shared" si="17"/>
        <v/>
      </c>
      <c r="Q99" s="47"/>
      <c r="R99" s="48"/>
      <c r="S99" s="1"/>
      <c r="T99" s="1"/>
      <c r="U99" s="1"/>
      <c r="V99" s="1"/>
      <c r="W99" s="1"/>
      <c r="X99" s="1"/>
      <c r="Y99" s="1"/>
      <c r="Z99" s="1"/>
    </row>
    <row r="100" spans="1:26" ht="15.05">
      <c r="A100" s="28">
        <f t="shared" si="12"/>
        <v>96</v>
      </c>
      <c r="B100" s="39"/>
      <c r="C100" s="40"/>
      <c r="D100" s="41"/>
      <c r="E100" s="41"/>
      <c r="F100" s="42" t="str">
        <f t="shared" si="13"/>
        <v/>
      </c>
      <c r="G100" s="43"/>
      <c r="H100" s="44" t="str">
        <f>IF(G100&lt;&gt;"",G100,IFERROR(VLOOKUP(C100,'Purity &amp; Rates'!$A$11:$B$16,2,FALSE),""))</f>
        <v/>
      </c>
      <c r="I100" s="42" t="str">
        <f t="shared" si="14"/>
        <v/>
      </c>
      <c r="J100" s="45" t="str">
        <f>IF(I100="","",I100*'Purity &amp; Rates'!$B$4/'Purity &amp; Rates'!$B$7)</f>
        <v/>
      </c>
      <c r="K100" s="45" t="str">
        <f>IF(J100="","",J100*'Purity &amp; Rates'!$B$5)</f>
        <v/>
      </c>
      <c r="L100" s="45" t="str">
        <f>IF(J100="","",J100*'Purity &amp; Rates'!$B$6)</f>
        <v/>
      </c>
      <c r="M100" s="46"/>
      <c r="N100" s="45" t="str">
        <f t="shared" si="15"/>
        <v/>
      </c>
      <c r="O100" s="44" t="str">
        <f t="shared" si="16"/>
        <v/>
      </c>
      <c r="P100" s="45" t="str">
        <f t="shared" si="17"/>
        <v/>
      </c>
      <c r="Q100" s="47"/>
      <c r="R100" s="48"/>
      <c r="S100" s="1"/>
      <c r="T100" s="1"/>
      <c r="U100" s="1"/>
      <c r="V100" s="1"/>
      <c r="W100" s="1"/>
      <c r="X100" s="1"/>
      <c r="Y100" s="1"/>
      <c r="Z100" s="1"/>
    </row>
    <row r="101" spans="1:26" ht="15.05">
      <c r="A101" s="28">
        <f t="shared" si="12"/>
        <v>97</v>
      </c>
      <c r="B101" s="39"/>
      <c r="C101" s="40"/>
      <c r="D101" s="41"/>
      <c r="E101" s="41"/>
      <c r="F101" s="42" t="str">
        <f t="shared" ref="F101:F132" si="18">IF(D101="","",MAX(D101-IF(E101="",0,E101),0))</f>
        <v/>
      </c>
      <c r="G101" s="43"/>
      <c r="H101" s="44" t="str">
        <f>IF(G101&lt;&gt;"",G101,IFERROR(VLOOKUP(C101,'Purity &amp; Rates'!$A$11:$B$16,2,FALSE),""))</f>
        <v/>
      </c>
      <c r="I101" s="42" t="str">
        <f t="shared" ref="I101:I132" si="19">IF(OR(F101="",H101=""),"",F101*H101)</f>
        <v/>
      </c>
      <c r="J101" s="45" t="str">
        <f>IF(I101="","",I101*'Purity &amp; Rates'!$B$4/'Purity &amp; Rates'!$B$7)</f>
        <v/>
      </c>
      <c r="K101" s="45" t="str">
        <f>IF(J101="","",J101*'Purity &amp; Rates'!$B$5)</f>
        <v/>
      </c>
      <c r="L101" s="45" t="str">
        <f>IF(J101="","",J101*'Purity &amp; Rates'!$B$6)</f>
        <v/>
      </c>
      <c r="M101" s="46"/>
      <c r="N101" s="45" t="str">
        <f t="shared" ref="N101:N132" si="20">IF(OR(J101="",M101=""),"",J101-M101)</f>
        <v/>
      </c>
      <c r="O101" s="44" t="str">
        <f t="shared" ref="O101:O132" si="21">IF(OR(N101="",M101=0),"",N101/M101)</f>
        <v/>
      </c>
      <c r="P101" s="45" t="str">
        <f t="shared" si="17"/>
        <v/>
      </c>
      <c r="Q101" s="47"/>
      <c r="R101" s="48"/>
      <c r="S101" s="1"/>
      <c r="T101" s="1"/>
      <c r="U101" s="1"/>
      <c r="V101" s="1"/>
      <c r="W101" s="1"/>
      <c r="X101" s="1"/>
      <c r="Y101" s="1"/>
      <c r="Z101" s="1"/>
    </row>
    <row r="102" spans="1:26" ht="15.05">
      <c r="A102" s="28">
        <f t="shared" si="12"/>
        <v>98</v>
      </c>
      <c r="B102" s="39"/>
      <c r="C102" s="40"/>
      <c r="D102" s="41"/>
      <c r="E102" s="41"/>
      <c r="F102" s="42" t="str">
        <f t="shared" si="18"/>
        <v/>
      </c>
      <c r="G102" s="43"/>
      <c r="H102" s="44" t="str">
        <f>IF(G102&lt;&gt;"",G102,IFERROR(VLOOKUP(C102,'Purity &amp; Rates'!$A$11:$B$16,2,FALSE),""))</f>
        <v/>
      </c>
      <c r="I102" s="42" t="str">
        <f t="shared" si="19"/>
        <v/>
      </c>
      <c r="J102" s="45" t="str">
        <f>IF(I102="","",I102*'Purity &amp; Rates'!$B$4/'Purity &amp; Rates'!$B$7)</f>
        <v/>
      </c>
      <c r="K102" s="45" t="str">
        <f>IF(J102="","",J102*'Purity &amp; Rates'!$B$5)</f>
        <v/>
      </c>
      <c r="L102" s="45" t="str">
        <f>IF(J102="","",J102*'Purity &amp; Rates'!$B$6)</f>
        <v/>
      </c>
      <c r="M102" s="46"/>
      <c r="N102" s="45" t="str">
        <f t="shared" si="20"/>
        <v/>
      </c>
      <c r="O102" s="44" t="str">
        <f t="shared" si="21"/>
        <v/>
      </c>
      <c r="P102" s="45" t="str">
        <f t="shared" si="17"/>
        <v/>
      </c>
      <c r="Q102" s="47"/>
      <c r="R102" s="48"/>
      <c r="S102" s="1"/>
      <c r="T102" s="1"/>
      <c r="U102" s="1"/>
      <c r="V102" s="1"/>
      <c r="W102" s="1"/>
      <c r="X102" s="1"/>
      <c r="Y102" s="1"/>
      <c r="Z102" s="1"/>
    </row>
    <row r="103" spans="1:26" ht="15.05">
      <c r="A103" s="28">
        <f t="shared" si="12"/>
        <v>99</v>
      </c>
      <c r="B103" s="39"/>
      <c r="C103" s="40"/>
      <c r="D103" s="41"/>
      <c r="E103" s="41"/>
      <c r="F103" s="42" t="str">
        <f t="shared" si="18"/>
        <v/>
      </c>
      <c r="G103" s="43"/>
      <c r="H103" s="44" t="str">
        <f>IF(G103&lt;&gt;"",G103,IFERROR(VLOOKUP(C103,'Purity &amp; Rates'!$A$11:$B$16,2,FALSE),""))</f>
        <v/>
      </c>
      <c r="I103" s="42" t="str">
        <f t="shared" si="19"/>
        <v/>
      </c>
      <c r="J103" s="45" t="str">
        <f>IF(I103="","",I103*'Purity &amp; Rates'!$B$4/'Purity &amp; Rates'!$B$7)</f>
        <v/>
      </c>
      <c r="K103" s="45" t="str">
        <f>IF(J103="","",J103*'Purity &amp; Rates'!$B$5)</f>
        <v/>
      </c>
      <c r="L103" s="45" t="str">
        <f>IF(J103="","",J103*'Purity &amp; Rates'!$B$6)</f>
        <v/>
      </c>
      <c r="M103" s="46"/>
      <c r="N103" s="45" t="str">
        <f t="shared" si="20"/>
        <v/>
      </c>
      <c r="O103" s="44" t="str">
        <f t="shared" si="21"/>
        <v/>
      </c>
      <c r="P103" s="45" t="str">
        <f t="shared" si="17"/>
        <v/>
      </c>
      <c r="Q103" s="47"/>
      <c r="R103" s="48"/>
      <c r="S103" s="1"/>
      <c r="T103" s="1"/>
      <c r="U103" s="1"/>
      <c r="V103" s="1"/>
      <c r="W103" s="1"/>
      <c r="X103" s="1"/>
      <c r="Y103" s="1"/>
      <c r="Z103" s="1"/>
    </row>
    <row r="104" spans="1:26" ht="15.05">
      <c r="A104" s="28">
        <f t="shared" si="12"/>
        <v>100</v>
      </c>
      <c r="B104" s="49"/>
      <c r="C104" s="50"/>
      <c r="D104" s="51"/>
      <c r="E104" s="51"/>
      <c r="F104" s="52" t="str">
        <f t="shared" si="18"/>
        <v/>
      </c>
      <c r="G104" s="53"/>
      <c r="H104" s="54" t="str">
        <f>IF(G104&lt;&gt;"",G104,IFERROR(VLOOKUP(C104,'Purity &amp; Rates'!$A$11:$B$16,2,FALSE),""))</f>
        <v/>
      </c>
      <c r="I104" s="52" t="str">
        <f t="shared" si="19"/>
        <v/>
      </c>
      <c r="J104" s="55" t="str">
        <f>IF(I104="","",I104*'Purity &amp; Rates'!$B$4/'Purity &amp; Rates'!$B$7)</f>
        <v/>
      </c>
      <c r="K104" s="55" t="str">
        <f>IF(J104="","",J104*'Purity &amp; Rates'!$B$5)</f>
        <v/>
      </c>
      <c r="L104" s="55" t="str">
        <f>IF(J104="","",J104*'Purity &amp; Rates'!$B$6)</f>
        <v/>
      </c>
      <c r="M104" s="56"/>
      <c r="N104" s="55" t="str">
        <f t="shared" si="20"/>
        <v/>
      </c>
      <c r="O104" s="54" t="str">
        <f t="shared" si="21"/>
        <v/>
      </c>
      <c r="P104" s="55" t="str">
        <f t="shared" si="17"/>
        <v/>
      </c>
      <c r="Q104" s="57"/>
      <c r="R104" s="58"/>
      <c r="S104" s="1"/>
      <c r="T104" s="1"/>
      <c r="U104" s="1"/>
      <c r="V104" s="1"/>
      <c r="W104" s="1"/>
      <c r="X104" s="1"/>
      <c r="Y104" s="1"/>
      <c r="Z104" s="1"/>
    </row>
    <row r="105" spans="1:26" ht="15.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05">
      <c r="A106" s="59" t="s">
        <v>60</v>
      </c>
      <c r="B106" s="59"/>
      <c r="C106" s="59"/>
      <c r="D106" s="60">
        <f>SUM(D5:D104)</f>
        <v>141.55000000000001</v>
      </c>
      <c r="E106" s="60">
        <f>SUM(E5:E104)</f>
        <v>13.5</v>
      </c>
      <c r="F106" s="60">
        <f>SUM(F5:F104)</f>
        <v>128.05000000000001</v>
      </c>
      <c r="G106" s="59"/>
      <c r="H106" s="59"/>
      <c r="I106" s="60">
        <f t="shared" ref="I106:N106" si="22">SUM(I5:I104)</f>
        <v>84.878559999999993</v>
      </c>
      <c r="J106" s="61">
        <f t="shared" si="22"/>
        <v>9372.0764578648686</v>
      </c>
      <c r="K106" s="61">
        <f t="shared" si="22"/>
        <v>8434.8688120783827</v>
      </c>
      <c r="L106" s="61">
        <f t="shared" si="22"/>
        <v>7029.0573433986528</v>
      </c>
      <c r="M106" s="61">
        <f t="shared" si="22"/>
        <v>0</v>
      </c>
      <c r="N106" s="61">
        <f t="shared" si="22"/>
        <v>0</v>
      </c>
      <c r="O106" s="62" t="str">
        <f>IF(M106=0,"",N106/M106)</f>
        <v/>
      </c>
      <c r="P106" s="61">
        <f>SUM(P5:P104)</f>
        <v>0</v>
      </c>
      <c r="Q106" s="59"/>
      <c r="R106" s="59"/>
      <c r="S106" s="1"/>
      <c r="T106" s="1"/>
      <c r="U106" s="1"/>
      <c r="V106" s="1"/>
      <c r="W106" s="1"/>
      <c r="X106" s="1"/>
      <c r="Y106" s="1"/>
      <c r="Z106" s="1"/>
    </row>
    <row r="107" spans="1:26" ht="15.0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0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0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0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0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0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0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0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0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0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0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0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0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0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0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0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0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0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0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0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0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0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0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0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0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0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0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0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0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0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0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0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0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0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0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0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0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0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0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0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0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0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0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0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0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0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0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0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0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0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0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0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0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0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0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0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0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0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0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0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0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0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0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0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0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0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0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0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0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0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0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0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0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0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0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0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0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0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0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0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0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0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0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0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0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0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0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0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0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0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0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0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0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0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R1"/>
    <mergeCell ref="A2:R2"/>
  </mergeCells>
  <conditionalFormatting sqref="N5:P104">
    <cfRule type="expression" dxfId="4" priority="1">
      <formula>N5&lt;0</formula>
    </cfRule>
    <cfRule type="expression" dxfId="3" priority="2">
      <formula>N5&gt;0</formula>
    </cfRule>
  </conditionalFormatting>
  <conditionalFormatting sqref="R5:R104">
    <cfRule type="expression" dxfId="2" priority="3">
      <formula>R5="Sold"</formula>
    </cfRule>
  </conditionalFormatting>
  <dataValidations count="2">
    <dataValidation type="list" sqref="C5:C104" xr:uid="{00000000-0002-0000-0100-000000000000}">
      <formula1>"24K,22K,18K,14K,10K,Custom"</formula1>
    </dataValidation>
    <dataValidation type="list" sqref="R5:R104" xr:uid="{00000000-0002-0000-0100-000001000000}">
      <formula1>"Unverified,Hallmark Only,Acid Tested,XRF Tested,Sold,Keep / Investment"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abSelected="1" workbookViewId="0">
      <selection activeCell="B5" sqref="B5"/>
    </sheetView>
  </sheetViews>
  <sheetFormatPr defaultRowHeight="14.4"/>
  <cols>
    <col min="1" max="1" width="19.6640625" bestFit="1" customWidth="1"/>
    <col min="2" max="2" width="22" customWidth="1"/>
    <col min="3" max="3" width="24" customWidth="1"/>
    <col min="4" max="6" width="18" customWidth="1"/>
  </cols>
  <sheetData>
    <row r="1" spans="1:26" ht="24.4" customHeight="1">
      <c r="A1" s="87" t="s">
        <v>61</v>
      </c>
      <c r="B1" s="87"/>
      <c r="C1" s="87"/>
      <c r="D1" s="87"/>
      <c r="E1" s="87"/>
      <c r="F1" s="8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0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05">
      <c r="A3" s="2" t="s">
        <v>62</v>
      </c>
      <c r="B3" s="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05">
      <c r="A4" s="63" t="s">
        <v>63</v>
      </c>
      <c r="B4" s="64">
        <v>3434.37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05">
      <c r="A5" s="63" t="s">
        <v>8</v>
      </c>
      <c r="B5" s="65">
        <v>0.9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05">
      <c r="A6" s="63" t="s">
        <v>10</v>
      </c>
      <c r="B6" s="65">
        <v>0.75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05">
      <c r="A7" s="63" t="s">
        <v>64</v>
      </c>
      <c r="B7" s="66">
        <v>31.1035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05">
      <c r="A8" s="67" t="s">
        <v>65</v>
      </c>
      <c r="B8" s="68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0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05">
      <c r="A10" s="11" t="s">
        <v>48</v>
      </c>
      <c r="B10" s="12" t="s">
        <v>67</v>
      </c>
      <c r="C10" s="12" t="s">
        <v>68</v>
      </c>
      <c r="D10" s="12" t="s">
        <v>69</v>
      </c>
      <c r="E10" s="12" t="s">
        <v>70</v>
      </c>
      <c r="F10" s="13" t="s">
        <v>71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05">
      <c r="A11" s="14" t="s">
        <v>25</v>
      </c>
      <c r="B11" s="69">
        <v>1</v>
      </c>
      <c r="C11" s="70" t="s">
        <v>72</v>
      </c>
      <c r="D11" s="17">
        <f t="shared" ref="D11:D16" si="0">IF(B11="","",B11*$B$4/$B$7)</f>
        <v>110.41747713279855</v>
      </c>
      <c r="E11" s="17">
        <f t="shared" ref="E11:E16" si="1">IF(D11="","",D11*$B$5)</f>
        <v>99.375729419518706</v>
      </c>
      <c r="F11" s="18">
        <f t="shared" ref="F11:F16" si="2">IF(D11="","",D11*$B$6)</f>
        <v>82.813107849598907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05">
      <c r="A12" s="14" t="s">
        <v>26</v>
      </c>
      <c r="B12" s="69">
        <v>0.91600000000000004</v>
      </c>
      <c r="C12" s="70" t="s">
        <v>73</v>
      </c>
      <c r="D12" s="17">
        <f t="shared" si="0"/>
        <v>101.14240905364348</v>
      </c>
      <c r="E12" s="17">
        <f t="shared" si="1"/>
        <v>91.028168148279136</v>
      </c>
      <c r="F12" s="18">
        <f t="shared" si="2"/>
        <v>75.856806790232611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05">
      <c r="A13" s="14" t="s">
        <v>27</v>
      </c>
      <c r="B13" s="69">
        <v>0.75</v>
      </c>
      <c r="C13" s="70" t="s">
        <v>74</v>
      </c>
      <c r="D13" s="17">
        <f t="shared" si="0"/>
        <v>82.813107849598921</v>
      </c>
      <c r="E13" s="17">
        <f t="shared" si="1"/>
        <v>74.531797064639036</v>
      </c>
      <c r="F13" s="18">
        <f t="shared" si="2"/>
        <v>62.109830887199195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05">
      <c r="A14" s="14" t="s">
        <v>28</v>
      </c>
      <c r="B14" s="69">
        <v>0.58299999999999996</v>
      </c>
      <c r="C14" s="70" t="s">
        <v>75</v>
      </c>
      <c r="D14" s="17">
        <f t="shared" si="0"/>
        <v>64.373389168421554</v>
      </c>
      <c r="E14" s="17">
        <f t="shared" si="1"/>
        <v>57.936050251579402</v>
      </c>
      <c r="F14" s="18">
        <f t="shared" si="2"/>
        <v>48.280041876316162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05">
      <c r="A15" s="14" t="s">
        <v>29</v>
      </c>
      <c r="B15" s="69">
        <v>0.41699999999999998</v>
      </c>
      <c r="C15" s="70" t="s">
        <v>76</v>
      </c>
      <c r="D15" s="17">
        <f t="shared" si="0"/>
        <v>46.044087964376992</v>
      </c>
      <c r="E15" s="17">
        <f t="shared" si="1"/>
        <v>41.439679167939296</v>
      </c>
      <c r="F15" s="18">
        <f t="shared" si="2"/>
        <v>34.533065973282746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05">
      <c r="A16" s="19" t="s">
        <v>30</v>
      </c>
      <c r="B16" s="71"/>
      <c r="C16" s="72" t="s">
        <v>77</v>
      </c>
      <c r="D16" s="22" t="str">
        <f t="shared" si="0"/>
        <v/>
      </c>
      <c r="E16" s="22" t="str">
        <f t="shared" si="1"/>
        <v/>
      </c>
      <c r="F16" s="23" t="str">
        <f t="shared" si="2"/>
        <v/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0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05">
      <c r="A18" s="89" t="s">
        <v>78</v>
      </c>
      <c r="B18" s="89"/>
      <c r="C18" s="89"/>
      <c r="D18" s="89"/>
      <c r="E18" s="89"/>
      <c r="F18" s="8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.15">
      <c r="A19" s="73" t="s">
        <v>79</v>
      </c>
      <c r="B19" s="90" t="s">
        <v>80</v>
      </c>
      <c r="C19" s="90"/>
      <c r="D19" s="90"/>
      <c r="E19" s="90"/>
      <c r="F19" s="9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05">
      <c r="A20" s="90" t="s">
        <v>81</v>
      </c>
      <c r="B20" s="90"/>
      <c r="C20" s="90"/>
      <c r="D20" s="90"/>
      <c r="E20" s="90"/>
      <c r="F20" s="9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.15">
      <c r="A21" s="73" t="s">
        <v>82</v>
      </c>
      <c r="B21" s="73" t="s">
        <v>83</v>
      </c>
      <c r="C21" s="73"/>
      <c r="D21" s="73"/>
      <c r="E21" s="73"/>
      <c r="F21" s="7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05">
      <c r="A22" s="73" t="s">
        <v>84</v>
      </c>
      <c r="B22" s="73" t="s">
        <v>85</v>
      </c>
      <c r="C22" s="73"/>
      <c r="D22" s="73"/>
      <c r="E22" s="73"/>
      <c r="F22" s="7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.15">
      <c r="A23" s="73" t="s">
        <v>86</v>
      </c>
      <c r="B23" s="73" t="s">
        <v>87</v>
      </c>
      <c r="C23" s="73"/>
      <c r="D23" s="73"/>
      <c r="E23" s="73"/>
      <c r="F23" s="7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0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05">
      <c r="A25" s="80" t="s">
        <v>88</v>
      </c>
      <c r="B25" s="81"/>
      <c r="C25" s="81"/>
      <c r="D25" s="81"/>
      <c r="E25" s="81"/>
      <c r="F25" s="8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05">
      <c r="A26" s="24" t="s">
        <v>89</v>
      </c>
      <c r="B26" s="83" t="s">
        <v>90</v>
      </c>
      <c r="C26" s="83"/>
      <c r="D26" s="83"/>
      <c r="E26" s="83"/>
      <c r="F26" s="8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05">
      <c r="A27" s="24" t="s">
        <v>91</v>
      </c>
      <c r="B27" s="83" t="s">
        <v>92</v>
      </c>
      <c r="C27" s="83"/>
      <c r="D27" s="83"/>
      <c r="E27" s="83"/>
      <c r="F27" s="8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05">
      <c r="A28" s="24" t="s">
        <v>93</v>
      </c>
      <c r="B28" s="83" t="s">
        <v>94</v>
      </c>
      <c r="C28" s="83"/>
      <c r="D28" s="83"/>
      <c r="E28" s="83"/>
      <c r="F28" s="8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05">
      <c r="A29" s="24" t="s">
        <v>95</v>
      </c>
      <c r="B29" s="83" t="s">
        <v>96</v>
      </c>
      <c r="C29" s="83"/>
      <c r="D29" s="83"/>
      <c r="E29" s="83"/>
      <c r="F29" s="8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05">
      <c r="A30" s="26" t="s">
        <v>97</v>
      </c>
      <c r="B30" s="85" t="s">
        <v>98</v>
      </c>
      <c r="C30" s="85"/>
      <c r="D30" s="85"/>
      <c r="E30" s="85"/>
      <c r="F30" s="8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0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0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0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0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0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0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0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0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0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0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0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0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0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0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0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0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0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0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0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0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0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0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0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0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0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0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0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0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0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0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0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0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0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0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0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0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0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0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0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0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0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0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0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0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0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0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0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0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0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0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0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0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0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0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0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0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0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0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0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0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0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0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0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0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0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0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0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0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0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0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0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0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0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0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0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0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0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0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0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0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0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0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0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0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0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0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0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0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0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0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0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0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0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0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0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0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0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0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0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0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0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0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0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0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0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0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0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0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0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0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0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0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0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0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0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0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0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0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0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0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0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0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0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0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0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0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0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0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0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0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0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0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0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0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0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0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0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0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0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0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0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0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0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0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0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0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0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0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0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0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0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0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0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0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0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0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0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0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0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0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0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0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0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0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0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0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0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0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0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0">
    <mergeCell ref="B26:F26"/>
    <mergeCell ref="B27:F27"/>
    <mergeCell ref="B28:F28"/>
    <mergeCell ref="B29:F29"/>
    <mergeCell ref="B30:F30"/>
    <mergeCell ref="A1:F1"/>
    <mergeCell ref="A18:F18"/>
    <mergeCell ref="B19:F19"/>
    <mergeCell ref="A20:F20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.4"/>
  <cols>
    <col min="1" max="1" width="22" customWidth="1"/>
    <col min="2" max="2" width="26" customWidth="1"/>
    <col min="3" max="6" width="16" customWidth="1"/>
  </cols>
  <sheetData>
    <row r="1" spans="1:26" ht="20.3">
      <c r="A1" s="91" t="s">
        <v>99</v>
      </c>
      <c r="B1" s="91"/>
      <c r="C1" s="91"/>
      <c r="D1" s="91"/>
      <c r="E1" s="91"/>
      <c r="F1" s="9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0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05">
      <c r="A3" s="74" t="s">
        <v>100</v>
      </c>
      <c r="B3" s="75" t="s">
        <v>101</v>
      </c>
      <c r="C3" s="75"/>
      <c r="D3" s="75"/>
      <c r="E3" s="75"/>
      <c r="F3" s="7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05">
      <c r="A4" s="24" t="s">
        <v>102</v>
      </c>
      <c r="B4" s="83" t="s">
        <v>103</v>
      </c>
      <c r="C4" s="83"/>
      <c r="D4" s="83"/>
      <c r="E4" s="83"/>
      <c r="F4" s="8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05">
      <c r="A5" s="24" t="s">
        <v>104</v>
      </c>
      <c r="B5" s="83" t="s">
        <v>105</v>
      </c>
      <c r="C5" s="83"/>
      <c r="D5" s="83"/>
      <c r="E5" s="83"/>
      <c r="F5" s="8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05">
      <c r="A6" s="24" t="s">
        <v>106</v>
      </c>
      <c r="B6" s="83" t="s">
        <v>107</v>
      </c>
      <c r="C6" s="83"/>
      <c r="D6" s="83"/>
      <c r="E6" s="83"/>
      <c r="F6" s="8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05">
      <c r="A7" s="24" t="s">
        <v>108</v>
      </c>
      <c r="B7" s="83" t="s">
        <v>109</v>
      </c>
      <c r="C7" s="83"/>
      <c r="D7" s="83"/>
      <c r="E7" s="83"/>
      <c r="F7" s="8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05">
      <c r="A8" s="24" t="s">
        <v>110</v>
      </c>
      <c r="B8" s="83" t="s">
        <v>111</v>
      </c>
      <c r="C8" s="83"/>
      <c r="D8" s="83"/>
      <c r="E8" s="83"/>
      <c r="F8" s="8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05">
      <c r="A9" s="24" t="s">
        <v>11</v>
      </c>
      <c r="B9" s="83" t="s">
        <v>112</v>
      </c>
      <c r="C9" s="83"/>
      <c r="D9" s="83"/>
      <c r="E9" s="83"/>
      <c r="F9" s="8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05">
      <c r="A10" s="24" t="s">
        <v>13</v>
      </c>
      <c r="B10" s="83" t="s">
        <v>113</v>
      </c>
      <c r="C10" s="83"/>
      <c r="D10" s="83"/>
      <c r="E10" s="83"/>
      <c r="F10" s="8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05">
      <c r="A11" s="24" t="s">
        <v>114</v>
      </c>
      <c r="B11" s="83" t="s">
        <v>115</v>
      </c>
      <c r="C11" s="83"/>
      <c r="D11" s="83"/>
      <c r="E11" s="83"/>
      <c r="F11" s="8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05">
      <c r="A12" s="26" t="s">
        <v>116</v>
      </c>
      <c r="B12" s="85" t="s">
        <v>117</v>
      </c>
      <c r="C12" s="85"/>
      <c r="D12" s="85"/>
      <c r="E12" s="85"/>
      <c r="F12" s="8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0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05">
      <c r="A14" s="92" t="s">
        <v>118</v>
      </c>
      <c r="B14" s="92"/>
      <c r="C14" s="92"/>
      <c r="D14" s="92"/>
      <c r="E14" s="92"/>
      <c r="F14" s="9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05">
      <c r="A15" s="25" t="s">
        <v>119</v>
      </c>
      <c r="B15" s="83" t="s">
        <v>120</v>
      </c>
      <c r="C15" s="83"/>
      <c r="D15" s="83"/>
      <c r="E15" s="83"/>
      <c r="F15" s="8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05">
      <c r="A16" s="25" t="s">
        <v>121</v>
      </c>
      <c r="B16" s="83" t="s">
        <v>122</v>
      </c>
      <c r="C16" s="83"/>
      <c r="D16" s="83"/>
      <c r="E16" s="83"/>
      <c r="F16" s="8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05">
      <c r="A17" s="25" t="s">
        <v>123</v>
      </c>
      <c r="B17" s="83" t="s">
        <v>124</v>
      </c>
      <c r="C17" s="83"/>
      <c r="D17" s="83"/>
      <c r="E17" s="83"/>
      <c r="F17" s="8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05">
      <c r="A18" s="25" t="s">
        <v>125</v>
      </c>
      <c r="B18" s="83" t="s">
        <v>126</v>
      </c>
      <c r="C18" s="83"/>
      <c r="D18" s="83"/>
      <c r="E18" s="83"/>
      <c r="F18" s="8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0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0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0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0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0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0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0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0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0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0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0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0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0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0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0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0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0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0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0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0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0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0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0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0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0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0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0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0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0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0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0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0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0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0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0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0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0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0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0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0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0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0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0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0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0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0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0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0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0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0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0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0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0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0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0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0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0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0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0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0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0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0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0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0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0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0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0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0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0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0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0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0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0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0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0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0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0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0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0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0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0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0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0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0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0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0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0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0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0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0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0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0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0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0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0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0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0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0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0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0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0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0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0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0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0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0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0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0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0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0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0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0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0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0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0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0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0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0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0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0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0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0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0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0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0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0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0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0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0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0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0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0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0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0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0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0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0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0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0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0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0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0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0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0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0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0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0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0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0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0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0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0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0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0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0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0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0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0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0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0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0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0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0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0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0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0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0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0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0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0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0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0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0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0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0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0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0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0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0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0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0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5">
    <mergeCell ref="A14:F14"/>
    <mergeCell ref="B15:F15"/>
    <mergeCell ref="B16:F16"/>
    <mergeCell ref="B17:F17"/>
    <mergeCell ref="B18:F18"/>
    <mergeCell ref="B8:F8"/>
    <mergeCell ref="B9:F9"/>
    <mergeCell ref="B10:F10"/>
    <mergeCell ref="B11:F11"/>
    <mergeCell ref="B12:F12"/>
    <mergeCell ref="A1:F1"/>
    <mergeCell ref="B4:F4"/>
    <mergeCell ref="B5:F5"/>
    <mergeCell ref="B6:F6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Item Calculator</vt:lpstr>
      <vt:lpstr>Purity &amp; Rates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Guariglia, PhD</cp:lastModifiedBy>
  <dcterms:modified xsi:type="dcterms:W3CDTF">2026-06-30T19:53:59Z</dcterms:modified>
</cp:coreProperties>
</file>